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Waluigi Spitballs</t>
        </is>
      </c>
    </row>
    <row r="12" ht="40.5" customHeight="1">
      <c r="I12" s="33" t="n">
        <v>6</v>
      </c>
      <c r="P12" s="33" t="n">
        <v>12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Red Noki</t>
        </is>
      </c>
      <c r="K20" s="19" t="inlineStr">
        <is>
          <t>C</t>
        </is>
      </c>
      <c r="Q20" s="19" t="inlineStr">
        <is>
          <t>P</t>
        </is>
      </c>
      <c r="R20" s="20" t="inlineStr">
        <is>
          <t>Blooper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1B</t>
        </is>
      </c>
      <c r="R21" s="20" t="inlineStr">
        <is>
          <t>Blue Pianta</t>
        </is>
      </c>
    </row>
    <row r="22" ht="15" customHeight="1">
      <c r="J22" s="17" t="inlineStr">
        <is>
          <t>Blue Yoshi</t>
        </is>
      </c>
      <c r="K22" s="19" t="inlineStr">
        <is>
          <t>2B</t>
        </is>
      </c>
      <c r="Q22" s="19" t="inlineStr">
        <is>
          <t>SS</t>
        </is>
      </c>
      <c r="R22" s="20" t="inlineStr">
        <is>
          <t>Yellow Magikoopa</t>
        </is>
      </c>
    </row>
    <row r="23" ht="15" customHeight="1">
      <c r="J23" s="17" t="inlineStr">
        <is>
          <t>Luigi</t>
        </is>
      </c>
      <c r="K23" s="19" t="inlineStr">
        <is>
          <t>P</t>
        </is>
      </c>
      <c r="Q23" s="19" t="inlineStr">
        <is>
          <t>3B</t>
        </is>
      </c>
      <c r="R23" s="20" t="inlineStr">
        <is>
          <t>Red Pianta</t>
        </is>
      </c>
    </row>
    <row r="24" ht="15" customHeight="1">
      <c r="J24" s="17" t="inlineStr">
        <is>
          <t>Monty Mole</t>
        </is>
      </c>
      <c r="K24" s="19" t="inlineStr">
        <is>
          <t>1B</t>
        </is>
      </c>
      <c r="Q24" s="19" t="inlineStr">
        <is>
          <t>2B</t>
        </is>
      </c>
      <c r="R24" s="20" t="inlineStr">
        <is>
          <t>Brown Kritter</t>
        </is>
      </c>
    </row>
    <row r="25" ht="15" customHeight="1">
      <c r="J25" s="17" t="inlineStr">
        <is>
          <t>Pink Yoshi</t>
        </is>
      </c>
      <c r="K25" s="19" t="inlineStr">
        <is>
          <t>CF</t>
        </is>
      </c>
      <c r="Q25" s="19" t="inlineStr">
        <is>
          <t>C</t>
        </is>
      </c>
      <c r="R25" s="20" t="inlineStr">
        <is>
          <t>Shy Guy</t>
        </is>
      </c>
    </row>
    <row r="26" ht="15" customHeight="1">
      <c r="J26" s="17" t="inlineStr">
        <is>
          <t>Paratroopa</t>
        </is>
      </c>
      <c r="K26" s="19" t="inlineStr">
        <is>
          <t>RF</t>
        </is>
      </c>
      <c r="Q26" s="19" t="inlineStr">
        <is>
          <t>LF</t>
        </is>
      </c>
      <c r="R26" s="20" t="inlineStr">
        <is>
          <t>Paragoomba</t>
        </is>
      </c>
    </row>
    <row r="27" ht="15" customHeight="1">
      <c r="J27" s="17" t="inlineStr">
        <is>
          <t>Wario</t>
        </is>
      </c>
      <c r="K27" s="19" t="inlineStr">
        <is>
          <t>LF</t>
        </is>
      </c>
      <c r="Q27" s="19" t="inlineStr">
        <is>
          <t>CF</t>
        </is>
      </c>
      <c r="R27" s="20" t="inlineStr">
        <is>
          <t>Waluigi</t>
        </is>
      </c>
    </row>
    <row r="28" ht="15" customHeight="1">
      <c r="J28" s="17" t="inlineStr">
        <is>
          <t>Purple Toad</t>
        </is>
      </c>
      <c r="K28" s="19" t="inlineStr">
        <is>
          <t>3B</t>
        </is>
      </c>
      <c r="Q28" s="19" t="inlineStr">
        <is>
          <t>RF</t>
        </is>
      </c>
      <c r="R28" s="20" t="inlineStr">
        <is>
          <t>Bowser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3</v>
      </c>
      <c r="T31" s="39" t="n">
        <v>6</v>
      </c>
    </row>
    <row r="32" ht="15" customHeight="1">
      <c r="J32" s="17" t="inlineStr">
        <is>
          <t>Waluigi Spitballs</t>
        </is>
      </c>
      <c r="K32" t="n">
        <v>2</v>
      </c>
      <c r="L32" t="n">
        <v>0</v>
      </c>
      <c r="M32" t="n">
        <v>8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s="39" t="n">
        <v>12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Red Noki</t>
        </is>
      </c>
      <c r="C2" s="30" t="inlineStr">
        <is>
          <t>C</t>
        </is>
      </c>
      <c r="D2" t="n">
        <v>5</v>
      </c>
      <c r="E2" t="n">
        <v>5</v>
      </c>
      <c r="F2" s="1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SS, P, 1B</t>
        </is>
      </c>
      <c r="D3" t="n">
        <v>4</v>
      </c>
      <c r="E3" t="n">
        <v>4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4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>
        <v>0.5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1</v>
      </c>
      <c r="AN3" t="n">
        <v>2</v>
      </c>
    </row>
    <row r="4" ht="15.75" customHeight="1">
      <c r="A4" s="41" t="n"/>
      <c r="B4" s="26" t="inlineStr">
        <is>
          <t>Blue Yoshi</t>
        </is>
      </c>
      <c r="C4" s="30" t="inlineStr">
        <is>
          <t>2B</t>
        </is>
      </c>
      <c r="D4" t="n">
        <v>5</v>
      </c>
      <c r="E4" t="n">
        <v>5</v>
      </c>
      <c r="F4" t="n">
        <v>0</v>
      </c>
      <c r="G4" t="n">
        <v>3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s="1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3</v>
      </c>
      <c r="X4" t="n">
        <v>4</v>
      </c>
      <c r="Y4" s="8" t="n">
        <v>0.6</v>
      </c>
      <c r="Z4" s="8" t="n">
        <v>0.6</v>
      </c>
      <c r="AA4" s="8" t="n">
        <v>0.8</v>
      </c>
      <c r="AB4" s="8" t="n">
        <v>1.4</v>
      </c>
      <c r="AC4" s="8" t="n">
        <v>1</v>
      </c>
      <c r="AD4" t="n">
        <v>0</v>
      </c>
      <c r="AE4" t="n">
        <v>0</v>
      </c>
      <c r="AF4" t="n">
        <v>0</v>
      </c>
      <c r="AG4" t="n">
        <v>2</v>
      </c>
      <c r="AH4" t="n">
        <v>4</v>
      </c>
      <c r="AI4" t="n">
        <v>0</v>
      </c>
      <c r="AJ4" t="n">
        <v>0</v>
      </c>
      <c r="AK4" t="n">
        <v>0</v>
      </c>
      <c r="AL4" t="n">
        <v>0</v>
      </c>
      <c r="AM4" s="5" t="n">
        <v>5</v>
      </c>
      <c r="AN4" t="n">
        <v>4</v>
      </c>
    </row>
    <row r="5" ht="12.75" customHeight="1">
      <c r="A5" s="41" t="n"/>
      <c r="B5" s="26" t="inlineStr">
        <is>
          <t>Luigi</t>
        </is>
      </c>
      <c r="C5" s="30" t="inlineStr">
        <is>
          <t>P, SS</t>
        </is>
      </c>
      <c r="D5" t="n">
        <v>5</v>
      </c>
      <c r="E5" t="n">
        <v>5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6</v>
      </c>
      <c r="Y5" s="8" t="n">
        <v>0.2</v>
      </c>
      <c r="Z5" s="8" t="n">
        <v>0.2</v>
      </c>
      <c r="AA5" s="8" t="n">
        <v>0.2</v>
      </c>
      <c r="AB5" s="8" t="n">
        <v>0.4</v>
      </c>
      <c r="AC5" s="8" t="n">
        <v>0.1666666666666667</v>
      </c>
      <c r="AD5" t="n">
        <v>0</v>
      </c>
      <c r="AE5" t="n">
        <v>0</v>
      </c>
      <c r="AF5" t="n">
        <v>0</v>
      </c>
      <c r="AG5" t="n">
        <v>1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1</v>
      </c>
    </row>
    <row r="6" ht="12.75" customHeight="1">
      <c r="A6" s="41" t="n"/>
      <c r="B6" s="26" t="inlineStr">
        <is>
          <t>Monty Mole</t>
        </is>
      </c>
      <c r="C6" s="30" t="inlineStr">
        <is>
          <t>1B, P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Pink Yoshi</t>
        </is>
      </c>
      <c r="C7" s="30" t="inlineStr">
        <is>
          <t>CF</t>
        </is>
      </c>
      <c r="D7" t="n">
        <v>4</v>
      </c>
      <c r="E7" t="n">
        <v>4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3</v>
      </c>
      <c r="Y7" s="8" t="n">
        <v>0.25</v>
      </c>
      <c r="Z7" s="8" t="n">
        <v>0.25</v>
      </c>
      <c r="AA7" s="8" t="n">
        <v>0.25</v>
      </c>
      <c r="AB7" s="8" t="n">
        <v>0.5</v>
      </c>
      <c r="AC7" s="8" t="n">
        <v>0.3333333333333333</v>
      </c>
      <c r="AD7" t="n">
        <v>0</v>
      </c>
      <c r="AE7" t="n">
        <v>0</v>
      </c>
      <c r="AF7" t="n">
        <v>0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1</v>
      </c>
    </row>
    <row r="8" ht="12.75" customHeight="1">
      <c r="A8" s="41" t="n"/>
      <c r="B8" s="26" t="inlineStr">
        <is>
          <t>Paratroopa</t>
        </is>
      </c>
      <c r="C8" s="30" t="inlineStr">
        <is>
          <t>RF</t>
        </is>
      </c>
      <c r="D8" t="n">
        <v>4</v>
      </c>
      <c r="E8" t="n">
        <v>4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2</v>
      </c>
      <c r="X8" t="n">
        <v>5</v>
      </c>
      <c r="Y8" s="8" t="n">
        <v>0.5</v>
      </c>
      <c r="Z8" s="8" t="n">
        <v>0.5</v>
      </c>
      <c r="AA8" s="8" t="n">
        <v>0.5</v>
      </c>
      <c r="AB8" s="8" t="n">
        <v>1</v>
      </c>
      <c r="AC8" s="8" t="n">
        <v>0.4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2</v>
      </c>
    </row>
    <row r="9" ht="12.75" customHeight="1">
      <c r="A9" s="41" t="n"/>
      <c r="B9" s="26" t="inlineStr">
        <is>
          <t>Wario</t>
        </is>
      </c>
      <c r="C9" s="30" t="inlineStr">
        <is>
          <t>LF</t>
        </is>
      </c>
      <c r="D9" t="n">
        <v>3</v>
      </c>
      <c r="E9" t="n">
        <v>3</v>
      </c>
      <c r="F9" t="n">
        <v>2</v>
      </c>
      <c r="G9" t="n">
        <v>2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2</v>
      </c>
      <c r="X9" t="n">
        <v>4</v>
      </c>
      <c r="Y9" s="8" t="n">
        <v>0.6666666666666666</v>
      </c>
      <c r="Z9" s="8" t="n">
        <v>0.6666666666666666</v>
      </c>
      <c r="AA9" s="8" t="n">
        <v>1.333333333333333</v>
      </c>
      <c r="AB9" s="8" t="n">
        <v>2</v>
      </c>
      <c r="AC9" s="8" t="n">
        <v>1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4</v>
      </c>
    </row>
    <row r="10" ht="12.75" customHeight="1">
      <c r="A10" s="41" t="n"/>
      <c r="B10" s="26" t="inlineStr">
        <is>
          <t>Purple Toad</t>
        </is>
      </c>
      <c r="C10" s="30" t="inlineStr">
        <is>
          <t>3B</t>
        </is>
      </c>
      <c r="D10" t="n">
        <v>4</v>
      </c>
      <c r="E10" t="n">
        <v>4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3</v>
      </c>
      <c r="Y10" s="8" t="n">
        <v>0.25</v>
      </c>
      <c r="Z10" s="8" t="n">
        <v>0.25</v>
      </c>
      <c r="AA10" s="8" t="n">
        <v>0.5</v>
      </c>
      <c r="AB10" s="8" t="n">
        <v>0.75</v>
      </c>
      <c r="AC10" s="8" t="n">
        <v>0.6666666666666666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s="5" t="n">
        <v>2</v>
      </c>
      <c r="AN10" t="n">
        <v>2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Spitballs</t>
        </is>
      </c>
      <c r="B12" s="26" t="inlineStr">
        <is>
          <t>Blooper</t>
        </is>
      </c>
      <c r="C12" s="30" t="inlineStr">
        <is>
          <t>P, C</t>
        </is>
      </c>
      <c r="D12" t="n">
        <v>5</v>
      </c>
      <c r="E12" t="n">
        <v>5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2</v>
      </c>
      <c r="X12" t="n">
        <v>3</v>
      </c>
      <c r="Y12" s="8" t="n">
        <v>0.4</v>
      </c>
      <c r="Z12" s="8" t="n">
        <v>0.4</v>
      </c>
      <c r="AA12" s="8" t="n">
        <v>0.4</v>
      </c>
      <c r="AB12" s="8" t="n">
        <v>0.8</v>
      </c>
      <c r="AC12" s="8" t="n">
        <v>0.6666666666666666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2</v>
      </c>
    </row>
    <row r="13" ht="12.75" customHeight="1">
      <c r="A13" s="41" t="n"/>
      <c r="B13" s="26" t="inlineStr">
        <is>
          <t>Blue Pianta</t>
        </is>
      </c>
      <c r="C13" s="30" t="inlineStr">
        <is>
          <t>1B</t>
        </is>
      </c>
      <c r="D13" t="n">
        <v>5</v>
      </c>
      <c r="E13" t="n">
        <v>5</v>
      </c>
      <c r="F13" t="n">
        <v>3</v>
      </c>
      <c r="G13" t="n">
        <v>3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12</v>
      </c>
      <c r="V13" t="n">
        <v>0</v>
      </c>
      <c r="W13" t="n">
        <v>0</v>
      </c>
      <c r="X13" t="n">
        <v>0</v>
      </c>
      <c r="Y13" s="8" t="n">
        <v>0.6</v>
      </c>
      <c r="Z13" s="8" t="n">
        <v>0.6</v>
      </c>
      <c r="AA13" s="8" t="n">
        <v>2.4</v>
      </c>
      <c r="AB13" s="8" t="n">
        <v>3</v>
      </c>
      <c r="AC13" s="8" t="n"/>
      <c r="AD13" t="n">
        <v>0</v>
      </c>
      <c r="AE13" t="n">
        <v>0</v>
      </c>
      <c r="AF13" t="n">
        <v>0</v>
      </c>
      <c r="AG13" t="n">
        <v>10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6</v>
      </c>
      <c r="AN13" t="n">
        <v>0</v>
      </c>
    </row>
    <row r="14" ht="12.75" customHeight="1">
      <c r="A14" s="41" t="n"/>
      <c r="B14" s="26" t="inlineStr">
        <is>
          <t>Yellow Magikoopa</t>
        </is>
      </c>
      <c r="C14" s="30" t="inlineStr">
        <is>
          <t>SS</t>
        </is>
      </c>
      <c r="D14" t="n">
        <v>5</v>
      </c>
      <c r="E14" t="n">
        <v>5</v>
      </c>
      <c r="F14" t="n">
        <v>1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2</v>
      </c>
      <c r="X14" t="n">
        <v>2</v>
      </c>
      <c r="Y14" s="8" t="n">
        <v>0.6</v>
      </c>
      <c r="Z14" s="8" t="n">
        <v>0.6</v>
      </c>
      <c r="AA14" s="8" t="n">
        <v>0.8</v>
      </c>
      <c r="AB14" s="8" t="n">
        <v>1.4</v>
      </c>
      <c r="AC14" s="8" t="n">
        <v>1.5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3</v>
      </c>
    </row>
    <row r="15" ht="12.75" customHeight="1">
      <c r="A15" s="41" t="n"/>
      <c r="B15" s="26" t="inlineStr">
        <is>
          <t>Red Pianta</t>
        </is>
      </c>
      <c r="C15" s="30" t="inlineStr">
        <is>
          <t>3B, P</t>
        </is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Brown Kritter</t>
        </is>
      </c>
      <c r="C16" s="30" t="inlineStr">
        <is>
          <t>2B</t>
        </is>
      </c>
      <c r="D16" t="n">
        <v>4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5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s="5" t="n">
        <v>4</v>
      </c>
      <c r="AN16" t="n">
        <v>0</v>
      </c>
    </row>
    <row r="17" ht="12.75" customHeight="1">
      <c r="A17" s="41" t="n"/>
      <c r="B17" s="26" t="inlineStr">
        <is>
          <t>Shy Guy</t>
        </is>
      </c>
      <c r="C17" s="30" t="inlineStr">
        <is>
          <t>C, P, 3B</t>
        </is>
      </c>
      <c r="D17" t="n">
        <v>4</v>
      </c>
      <c r="E17" t="n">
        <v>4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2</v>
      </c>
      <c r="Y17" s="8" t="n">
        <v>0.25</v>
      </c>
      <c r="Z17" s="8" t="n">
        <v>0.25</v>
      </c>
      <c r="AA17" s="8" t="n">
        <v>0.25</v>
      </c>
      <c r="AB17" s="8" t="n">
        <v>0.5</v>
      </c>
      <c r="AC17" s="8" t="n">
        <v>0.5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1</v>
      </c>
    </row>
    <row r="18" ht="12.75" customHeight="1">
      <c r="A18" s="41" t="n"/>
      <c r="B18" s="26" t="inlineStr">
        <is>
          <t>Paragoomba</t>
        </is>
      </c>
      <c r="C18" s="30" t="inlineStr">
        <is>
          <t>LF</t>
        </is>
      </c>
      <c r="D18" t="n">
        <v>4</v>
      </c>
      <c r="E18" t="n">
        <v>4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2</v>
      </c>
      <c r="Y18" s="8" t="n">
        <v>0.5</v>
      </c>
      <c r="Z18" s="8" t="n">
        <v>0.5</v>
      </c>
      <c r="AA18" s="8" t="n">
        <v>0.5</v>
      </c>
      <c r="AB18" s="8" t="n">
        <v>1</v>
      </c>
      <c r="AC18" s="8" t="n">
        <v>0.5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Waluigi</t>
        </is>
      </c>
      <c r="C19" s="30" t="inlineStr">
        <is>
          <t>CF</t>
        </is>
      </c>
      <c r="D19" t="n">
        <v>4</v>
      </c>
      <c r="E19" t="n">
        <v>4</v>
      </c>
      <c r="F19" t="n">
        <v>2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1</v>
      </c>
      <c r="X19" t="n">
        <v>2</v>
      </c>
      <c r="Y19" s="8" t="n">
        <v>0.75</v>
      </c>
      <c r="Z19" s="8" t="n">
        <v>0.75</v>
      </c>
      <c r="AA19" s="8" t="n">
        <v>1</v>
      </c>
      <c r="AB19" s="8" t="n">
        <v>1.75</v>
      </c>
      <c r="AC19" s="8" t="n">
        <v>1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2</v>
      </c>
    </row>
    <row r="20" ht="12.75" customHeight="1">
      <c r="A20" s="41" t="n"/>
      <c r="B20" s="26" t="inlineStr">
        <is>
          <t>Bowser</t>
        </is>
      </c>
      <c r="C20" s="30" t="inlineStr">
        <is>
          <t>RF</t>
        </is>
      </c>
      <c r="D20" t="n">
        <v>4</v>
      </c>
      <c r="E20" t="n">
        <v>4</v>
      </c>
      <c r="F20" t="n">
        <v>2</v>
      </c>
      <c r="G20" t="n">
        <v>2</v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8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2</v>
      </c>
      <c r="AB20" s="8" t="n">
        <v>2.5</v>
      </c>
      <c r="AC20" s="8" t="n"/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Spitballs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22</v>
      </c>
      <c r="D2" s="11" t="n">
        <v>3</v>
      </c>
      <c r="E2" t="n">
        <v>25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10</v>
      </c>
      <c r="M2" t="n">
        <v>8</v>
      </c>
      <c r="N2" t="n">
        <v>1</v>
      </c>
      <c r="O2" t="n">
        <v>0</v>
      </c>
      <c r="P2" t="n">
        <v>4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23.33333333333333</v>
      </c>
      <c r="X2" s="8" t="n">
        <v>30</v>
      </c>
      <c r="Y2" s="8" t="n">
        <v>4.333333333333333</v>
      </c>
      <c r="Z2" s="8" t="n">
        <v>0.5909090909090909</v>
      </c>
      <c r="AA2" s="8" t="n">
        <v>0.5909090909090909</v>
      </c>
      <c r="AB2" s="8" t="n">
        <v>1.181818181818182</v>
      </c>
      <c r="AC2" s="8" t="n">
        <v>1.772727272727273</v>
      </c>
      <c r="AD2" t="n">
        <v>22</v>
      </c>
      <c r="AE2" t="n">
        <v>26</v>
      </c>
    </row>
    <row r="3" ht="12.75" customHeight="1">
      <c r="A3" s="7" t="inlineStr">
        <is>
          <t>Green Paratroopa</t>
        </is>
      </c>
      <c r="B3" t="inlineStr">
        <is>
          <t>Knights</t>
        </is>
      </c>
      <c r="C3" s="22" t="n">
        <v>11</v>
      </c>
      <c r="D3" s="11" t="n">
        <v>3</v>
      </c>
      <c r="E3" t="n">
        <v>18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1</v>
      </c>
      <c r="N3" t="n">
        <v>0</v>
      </c>
      <c r="O3" t="n">
        <v>0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4.666666666666667</v>
      </c>
      <c r="X3" s="8" t="n">
        <v>6</v>
      </c>
      <c r="Y3" s="8" t="n">
        <v>0.6666666666666666</v>
      </c>
      <c r="Z3" s="8" t="n">
        <v>0.1818181818181818</v>
      </c>
      <c r="AA3" s="8" t="n">
        <v>0.1818181818181818</v>
      </c>
      <c r="AB3" s="8" t="n">
        <v>0.4545454545454545</v>
      </c>
      <c r="AC3" s="8" t="n">
        <v>0.6363636363636364</v>
      </c>
      <c r="AD3" t="n">
        <v>11</v>
      </c>
      <c r="AE3" t="n">
        <v>5</v>
      </c>
    </row>
    <row r="4" ht="12.75" customHeight="1">
      <c r="A4" s="7" t="inlineStr">
        <is>
          <t>Monty Mole</t>
        </is>
      </c>
      <c r="B4" t="inlineStr">
        <is>
          <t>Knights</t>
        </is>
      </c>
      <c r="C4" s="22" t="n">
        <v>6</v>
      </c>
      <c r="D4" s="11" t="n">
        <v>1.666666666666667</v>
      </c>
      <c r="E4" t="n">
        <v>8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0</v>
      </c>
      <c r="X4" s="8" t="n">
        <v>0</v>
      </c>
      <c r="Y4" s="8" t="n">
        <v>0.6</v>
      </c>
      <c r="Z4" s="8" t="n">
        <v>0.1666666666666667</v>
      </c>
      <c r="AA4" s="8" t="n">
        <v>0.1666666666666667</v>
      </c>
      <c r="AB4" s="8" t="n">
        <v>0.3333333333333333</v>
      </c>
      <c r="AC4" s="8" t="n">
        <v>0.5</v>
      </c>
      <c r="AD4" t="n">
        <v>6</v>
      </c>
      <c r="AE4" t="n">
        <v>2</v>
      </c>
    </row>
    <row r="5" ht="12.75" customHeight="1">
      <c r="A5" s="7" t="inlineStr">
        <is>
          <t>Blooper</t>
        </is>
      </c>
      <c r="B5" t="inlineStr">
        <is>
          <t>Spitballs</t>
        </is>
      </c>
      <c r="C5" s="22" t="n">
        <v>10</v>
      </c>
      <c r="D5" s="11" t="n">
        <v>3.333333333333333</v>
      </c>
      <c r="E5" t="n">
        <v>19</v>
      </c>
      <c r="F5" t="n">
        <v>7</v>
      </c>
      <c r="G5" t="n">
        <v>2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0</v>
      </c>
      <c r="X5" s="8" t="n">
        <v>0</v>
      </c>
      <c r="Y5" s="8" t="n">
        <v>0.3</v>
      </c>
      <c r="Z5" s="8" t="n">
        <v>0.1</v>
      </c>
      <c r="AA5" s="8" t="n">
        <v>0.1</v>
      </c>
      <c r="AB5" s="8" t="n">
        <v>0.1</v>
      </c>
      <c r="AC5" s="8" t="n">
        <v>0.2</v>
      </c>
      <c r="AD5" t="n">
        <v>10</v>
      </c>
      <c r="AE5" t="n">
        <v>1</v>
      </c>
    </row>
    <row r="6" ht="12.75" customHeight="1">
      <c r="A6" s="7" t="inlineStr">
        <is>
          <t>Shy Guy</t>
        </is>
      </c>
      <c r="B6" t="inlineStr">
        <is>
          <t>Spitballs</t>
        </is>
      </c>
      <c r="C6" s="22" t="n">
        <v>13</v>
      </c>
      <c r="D6" s="11" t="n">
        <v>2.666666666666667</v>
      </c>
      <c r="E6" t="n">
        <v>18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3</v>
      </c>
      <c r="M6" t="n">
        <v>2</v>
      </c>
      <c r="N6" t="n">
        <v>3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s="8" t="n">
        <v>7.875</v>
      </c>
      <c r="X6" s="8" t="n">
        <v>10.125</v>
      </c>
      <c r="Y6" s="8" t="n">
        <v>1.875</v>
      </c>
      <c r="Z6" s="8" t="n">
        <v>0.3846153846153846</v>
      </c>
      <c r="AA6" s="8" t="n">
        <v>0.3846153846153846</v>
      </c>
      <c r="AB6" s="8" t="n">
        <v>0.6153846153846154</v>
      </c>
      <c r="AC6" s="8" t="n">
        <v>1</v>
      </c>
      <c r="AD6" t="n">
        <v>13</v>
      </c>
      <c r="AE6" t="n">
        <v>8</v>
      </c>
    </row>
    <row r="7" ht="12.75" customHeight="1">
      <c r="A7" s="7" t="inlineStr">
        <is>
          <t>Red Pianta</t>
        </is>
      </c>
      <c r="B7" t="inlineStr">
        <is>
          <t>Spitballs</t>
        </is>
      </c>
      <c r="C7" s="22" t="n">
        <v>15</v>
      </c>
      <c r="D7" s="11" t="n">
        <v>3</v>
      </c>
      <c r="E7" t="n">
        <v>18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3</v>
      </c>
      <c r="M7" t="n">
        <v>5</v>
      </c>
      <c r="N7" t="n">
        <v>1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s="8" t="n">
        <v>7</v>
      </c>
      <c r="X7" s="8" t="n">
        <v>9</v>
      </c>
      <c r="Y7" s="8" t="n">
        <v>2</v>
      </c>
      <c r="Z7" s="8" t="n">
        <v>0.4</v>
      </c>
      <c r="AA7" s="8" t="n">
        <v>0.4</v>
      </c>
      <c r="AB7" s="8" t="n">
        <v>0.4666666666666667</v>
      </c>
      <c r="AC7" s="8" t="n">
        <v>0.8666666666666667</v>
      </c>
      <c r="AD7" t="n">
        <v>15</v>
      </c>
      <c r="AE7" t="n">
        <v>7</v>
      </c>
    </row>
    <row r="8" ht="12.75" customHeight="1">
      <c r="A8" s="47" t="inlineStr">
        <is>
          <t>Knights Totals</t>
        </is>
      </c>
      <c r="B8" s="43" t="inlineStr">
        <is>
          <t>Knights</t>
        </is>
      </c>
      <c r="C8" s="48">
        <f>SUM(C2:C4)</f>
        <v/>
      </c>
      <c r="D8" s="49">
        <f>SUM(D2:D4)</f>
        <v/>
      </c>
      <c r="E8" s="43">
        <f>SUM(E2:E4)</f>
        <v/>
      </c>
      <c r="F8" s="43">
        <f>SUM(F2:F4)</f>
        <v/>
      </c>
      <c r="G8" s="43">
        <f>SUM(G2:G4)</f>
        <v/>
      </c>
      <c r="H8" s="43">
        <f>SUM(H2:H4)</f>
        <v/>
      </c>
      <c r="I8" s="43">
        <f>SUM(I2:I4)</f>
        <v/>
      </c>
      <c r="J8" s="43">
        <f>SUM(J2:J4)</f>
        <v/>
      </c>
      <c r="K8" s="43">
        <f>SUM(K2:K4)</f>
        <v/>
      </c>
      <c r="L8" s="43">
        <f>SUM(L2:L4)</f>
        <v/>
      </c>
      <c r="M8" s="43">
        <f>SUM(M2:M4)</f>
        <v/>
      </c>
      <c r="N8" s="43">
        <f>SUM(N2:N4)</f>
        <v/>
      </c>
      <c r="O8" s="43">
        <f>SUM(O2:O4)</f>
        <v/>
      </c>
      <c r="P8" s="43">
        <f>SUM(P2:P4)</f>
        <v/>
      </c>
      <c r="Q8" s="43">
        <f>SUM(Q2:Q4)</f>
        <v/>
      </c>
      <c r="R8" s="43">
        <f>SUM(R2:R4)</f>
        <v/>
      </c>
      <c r="S8" s="43">
        <f>SUM(S2:S4)</f>
        <v/>
      </c>
      <c r="T8" s="43">
        <f>SUM(T2:T4)</f>
        <v/>
      </c>
      <c r="U8" s="43">
        <f>SUM(U2:U4)</f>
        <v/>
      </c>
      <c r="V8" s="43">
        <f>SUM(V2:V4)</f>
        <v/>
      </c>
      <c r="W8" s="50">
        <f>IF(D8=0,"INF",Q8*7/D8)</f>
        <v/>
      </c>
      <c r="X8" s="50">
        <f>IF(D8=0,"INF",Q8*9/D8)</f>
        <v/>
      </c>
      <c r="Y8" s="50">
        <f>IF(D8=0,"INF",(I8+K8)/D8)</f>
        <v/>
      </c>
      <c r="Z8" s="50">
        <f>IF(SUM(AD2:AD4)=0,0,SUM(K2:K4)/SUM(AD2:AD4))</f>
        <v/>
      </c>
      <c r="AA8" s="50">
        <f>IF(SUM(C2:C4)=0,0,(SUM(K2:K4)+SUM(I2:I4)+SUM(J2:J4))/SUM(C2:C4))</f>
        <v/>
      </c>
      <c r="AB8" s="50">
        <f>IF(SUM(AD2:AD4)=0,0,SUM(AE2:AE4)/SUM(AD2:AD4))</f>
        <v/>
      </c>
      <c r="AC8" s="50">
        <f>AA8+AB8</f>
        <v/>
      </c>
      <c r="AD8" s="43" t="n"/>
      <c r="AE8" s="43" t="n"/>
    </row>
    <row r="9" ht="12.75" customHeight="1">
      <c r="A9" s="51" t="inlineStr">
        <is>
          <t>Spitballs Totals</t>
        </is>
      </c>
      <c r="B9" s="46" t="inlineStr">
        <is>
          <t>Spitballs</t>
        </is>
      </c>
      <c r="C9" s="52">
        <f>SUM(C5:C7)</f>
        <v/>
      </c>
      <c r="D9" s="53">
        <f>SUM(D5:D7)</f>
        <v/>
      </c>
      <c r="E9" s="46">
        <f>SUM(E5:E7)</f>
        <v/>
      </c>
      <c r="F9" s="46">
        <f>SUM(F5:F7)</f>
        <v/>
      </c>
      <c r="G9" s="46">
        <f>SUM(G5:G7)</f>
        <v/>
      </c>
      <c r="H9" s="46">
        <f>SUM(H5:H7)</f>
        <v/>
      </c>
      <c r="I9" s="46">
        <f>SUM(I5:I7)</f>
        <v/>
      </c>
      <c r="J9" s="46">
        <f>SUM(J5:J7)</f>
        <v/>
      </c>
      <c r="K9" s="46">
        <f>SUM(K5:K7)</f>
        <v/>
      </c>
      <c r="L9" s="46">
        <f>SUM(L5:L7)</f>
        <v/>
      </c>
      <c r="M9" s="46">
        <f>SUM(M5:M7)</f>
        <v/>
      </c>
      <c r="N9" s="46">
        <f>SUM(N5:N7)</f>
        <v/>
      </c>
      <c r="O9" s="46">
        <f>SUM(O5:O7)</f>
        <v/>
      </c>
      <c r="P9" s="46">
        <f>SUM(P5:P7)</f>
        <v/>
      </c>
      <c r="Q9" s="46">
        <f>SUM(Q5:Q7)</f>
        <v/>
      </c>
      <c r="R9" s="46">
        <f>SUM(R5:R7)</f>
        <v/>
      </c>
      <c r="S9" s="46">
        <f>SUM(S5:S7)</f>
        <v/>
      </c>
      <c r="T9" s="46">
        <f>SUM(T5:T7)</f>
        <v/>
      </c>
      <c r="U9" s="46">
        <f>SUM(U5:U7)</f>
        <v/>
      </c>
      <c r="V9" s="46">
        <f>SUM(V5:V7)</f>
        <v/>
      </c>
      <c r="W9" s="54">
        <f>IF(D9=0,"INF",Q9*7/D9)</f>
        <v/>
      </c>
      <c r="X9" s="54">
        <f>IF(D9=0,"INF",Q9*9/D9)</f>
        <v/>
      </c>
      <c r="Y9" s="54">
        <f>IF(D9=0,"INF",(I9+K9)/D9)</f>
        <v/>
      </c>
      <c r="Z9" s="54">
        <f>IF(SUM(AD5:AD7)=0,0,SUM(K5:K7)/SUM(AD5:AD7))</f>
        <v/>
      </c>
      <c r="AA9" s="54">
        <f>IF(SUM(C5:C7)=0,0,(SUM(K5:K7)+SUM(I5:I7)+SUM(J5:J7))/SUM(C5:C7))</f>
        <v/>
      </c>
      <c r="AB9" s="54">
        <f>IF(SUM(AD5:AD7)=0,0,SUM(AE5:AE7)/SUM(AD5:AD7))</f>
        <v/>
      </c>
      <c r="AC9" s="54">
        <f>AA9+AB9</f>
        <v/>
      </c>
      <c r="AD9" s="46" t="n"/>
      <c r="AE9" s="46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2026-09-04T17:33:40Z</dcterms:modified>
</cp:coreProperties>
</file>