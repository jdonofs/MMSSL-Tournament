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Waluigi Spitballs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4</v>
      </c>
      <c r="P12" s="33" t="n">
        <v>17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Yellow Pianta</t>
        </is>
      </c>
      <c r="K20" s="19" t="inlineStr">
        <is>
          <t>C</t>
        </is>
      </c>
      <c r="Q20" s="19" t="inlineStr">
        <is>
          <t>C</t>
        </is>
      </c>
      <c r="R20" s="20" t="inlineStr">
        <is>
          <t>Toadsworth</t>
        </is>
      </c>
    </row>
    <row r="21" ht="15" customHeight="1">
      <c r="J21" s="17" t="inlineStr">
        <is>
          <t>Waluigi</t>
        </is>
      </c>
      <c r="K21" s="19" t="inlineStr">
        <is>
          <t>RF</t>
        </is>
      </c>
      <c r="Q21" s="19" t="inlineStr">
        <is>
          <t>SS</t>
        </is>
      </c>
      <c r="R21" s="20" t="inlineStr">
        <is>
          <t>Red Magikoopa</t>
        </is>
      </c>
    </row>
    <row r="22" ht="15" customHeight="1">
      <c r="J22" s="17" t="inlineStr">
        <is>
          <t>Red Noki</t>
        </is>
      </c>
      <c r="K22" s="19" t="inlineStr">
        <is>
          <t>CF</t>
        </is>
      </c>
      <c r="Q22" s="19" t="inlineStr">
        <is>
          <t>CF</t>
        </is>
      </c>
      <c r="R22" s="20" t="inlineStr">
        <is>
          <t>Purple Toad</t>
        </is>
      </c>
    </row>
    <row r="23" ht="15" customHeight="1">
      <c r="J23" s="17" t="inlineStr">
        <is>
          <t>Red Yoshi</t>
        </is>
      </c>
      <c r="K23" s="19" t="inlineStr">
        <is>
          <t>1B</t>
        </is>
      </c>
      <c r="Q23" s="19" t="inlineStr">
        <is>
          <t>3B</t>
        </is>
      </c>
      <c r="R23" s="20" t="inlineStr">
        <is>
          <t>Red Toad</t>
        </is>
      </c>
    </row>
    <row r="24" ht="15" customHeight="1">
      <c r="J24" s="17" t="inlineStr">
        <is>
          <t>Yellow Magikoopa</t>
        </is>
      </c>
      <c r="K24" s="19" t="inlineStr">
        <is>
          <t>P</t>
        </is>
      </c>
      <c r="Q24" s="19" t="inlineStr">
        <is>
          <t>1B</t>
        </is>
      </c>
      <c r="R24" s="20" t="inlineStr">
        <is>
          <t>Red Kritter</t>
        </is>
      </c>
    </row>
    <row r="25" ht="15" customHeight="1">
      <c r="J25" s="17" t="inlineStr">
        <is>
          <t>Bowser</t>
        </is>
      </c>
      <c r="K25" s="19" t="inlineStr">
        <is>
          <t>LF</t>
        </is>
      </c>
      <c r="Q25" s="19" t="inlineStr">
        <is>
          <t>LF</t>
        </is>
      </c>
      <c r="R25" s="20" t="inlineStr">
        <is>
          <t>Shy Guy</t>
        </is>
      </c>
    </row>
    <row r="26" ht="15" customHeight="1">
      <c r="J26" s="17" t="inlineStr">
        <is>
          <t>Red Koopa Troopa</t>
        </is>
      </c>
      <c r="K26" s="19" t="inlineStr">
        <is>
          <t>2B</t>
        </is>
      </c>
      <c r="Q26" s="19" t="inlineStr">
        <is>
          <t>2B</t>
        </is>
      </c>
      <c r="R26" s="20" t="inlineStr">
        <is>
          <t>Mario</t>
        </is>
      </c>
    </row>
    <row r="27" ht="15" customHeight="1">
      <c r="J27" s="17" t="inlineStr">
        <is>
          <t>Wiggler</t>
        </is>
      </c>
      <c r="K27" s="19" t="inlineStr">
        <is>
          <t>3B</t>
        </is>
      </c>
      <c r="Q27" s="19" t="inlineStr">
        <is>
          <t>RF</t>
        </is>
      </c>
      <c r="R27" s="20" t="inlineStr">
        <is>
          <t>Bowser Jr.</t>
        </is>
      </c>
    </row>
    <row r="28" ht="15" customHeight="1">
      <c r="J28" s="17" t="inlineStr">
        <is>
          <t>Peach</t>
        </is>
      </c>
      <c r="K28" s="19" t="inlineStr">
        <is>
          <t>SS</t>
        </is>
      </c>
      <c r="Q28" s="19" t="inlineStr">
        <is>
          <t>P</t>
        </is>
      </c>
      <c r="R28" s="20" t="inlineStr">
        <is>
          <t>Tiny Kong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s="38" t="inlineStr">
        <is>
          <t>Final</t>
        </is>
      </c>
    </row>
    <row r="31" ht="15" customHeight="1">
      <c r="J31" s="17" t="inlineStr">
        <is>
          <t>Waluigi Spitballs</t>
        </is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s="39" t="n">
        <v>4</v>
      </c>
    </row>
    <row r="32" ht="15" customHeight="1">
      <c r="J32" s="17" t="inlineStr">
        <is>
          <t>Mario Fireballs</t>
        </is>
      </c>
      <c r="K32" t="n">
        <v>0</v>
      </c>
      <c r="L32" t="n">
        <v>8</v>
      </c>
      <c r="M32" t="n">
        <v>6</v>
      </c>
      <c r="N32" t="n">
        <v>3</v>
      </c>
      <c r="O32" t="n">
        <v>0</v>
      </c>
      <c r="P32" t="n">
        <v>0</v>
      </c>
      <c r="Q32" s="39" t="n">
        <v>17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Spitballs</t>
        </is>
      </c>
      <c r="B2" s="26" t="inlineStr">
        <is>
          <t>Yellow Pianta</t>
        </is>
      </c>
      <c r="C2" s="30" t="inlineStr">
        <is>
          <t>C</t>
        </is>
      </c>
      <c r="D2" t="n">
        <v>3</v>
      </c>
      <c r="E2" t="n">
        <v>3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Waluigi</t>
        </is>
      </c>
      <c r="C3" s="30" t="inlineStr">
        <is>
          <t>RF</t>
        </is>
      </c>
      <c r="D3" t="n">
        <v>2</v>
      </c>
      <c r="E3" t="n">
        <v>2</v>
      </c>
      <c r="F3" t="n">
        <v>2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1</v>
      </c>
      <c r="X3" t="n">
        <v>1</v>
      </c>
      <c r="Y3" s="8" t="n">
        <v>1</v>
      </c>
      <c r="Z3" s="8" t="n">
        <v>1</v>
      </c>
      <c r="AA3" s="8" t="n">
        <v>1</v>
      </c>
      <c r="AB3" s="8" t="n">
        <v>2</v>
      </c>
      <c r="AC3" s="8" t="n">
        <v>1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1</v>
      </c>
    </row>
    <row r="4" ht="15.75" customHeight="1">
      <c r="A4" s="41" t="n"/>
      <c r="B4" s="26" t="inlineStr">
        <is>
          <t>Red Noki</t>
        </is>
      </c>
      <c r="C4" s="30" t="inlineStr">
        <is>
          <t>CF</t>
        </is>
      </c>
      <c r="D4" t="n">
        <v>3</v>
      </c>
      <c r="E4" t="n">
        <v>3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2</v>
      </c>
      <c r="Y4" s="8" t="n">
        <v>0.3333333333333333</v>
      </c>
      <c r="Z4" s="8" t="n">
        <v>0.3333333333333333</v>
      </c>
      <c r="AA4" s="8" t="n">
        <v>0.3333333333333333</v>
      </c>
      <c r="AB4" s="8" t="n">
        <v>0.6666666666666666</v>
      </c>
      <c r="AC4" s="8" t="n">
        <v>0.5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1</v>
      </c>
      <c r="AN4" t="n">
        <v>1</v>
      </c>
    </row>
    <row r="5" ht="12.75" customHeight="1">
      <c r="A5" s="41" t="n"/>
      <c r="B5" s="26" t="inlineStr">
        <is>
          <t>Red Yoshi</t>
        </is>
      </c>
      <c r="C5" s="30" t="inlineStr">
        <is>
          <t>1B</t>
        </is>
      </c>
      <c r="D5" t="n">
        <v>3</v>
      </c>
      <c r="E5" t="n">
        <v>3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4</v>
      </c>
      <c r="Y5" s="8" t="n">
        <v>0.3333333333333333</v>
      </c>
      <c r="Z5" s="8" t="n">
        <v>0.3333333333333333</v>
      </c>
      <c r="AA5" s="8" t="n">
        <v>0.3333333333333333</v>
      </c>
      <c r="AB5" s="8" t="n">
        <v>0.6666666666666666</v>
      </c>
      <c r="AC5" s="8" t="n">
        <v>0.25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1</v>
      </c>
    </row>
    <row r="6" ht="12.75" customHeight="1">
      <c r="A6" s="41" t="n"/>
      <c r="B6" s="26" t="inlineStr">
        <is>
          <t>Yellow Magikoopa</t>
        </is>
      </c>
      <c r="C6" s="30" t="inlineStr">
        <is>
          <t>P, 3B</t>
        </is>
      </c>
      <c r="D6" t="n">
        <v>2</v>
      </c>
      <c r="E6" t="n">
        <v>3</v>
      </c>
      <c r="F6" t="n">
        <v>1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2</v>
      </c>
      <c r="X6" t="n">
        <v>2</v>
      </c>
      <c r="Y6" s="8" t="n">
        <v>1</v>
      </c>
      <c r="Z6" s="8" t="n">
        <v>0.6666666666666666</v>
      </c>
      <c r="AA6" s="8" t="n">
        <v>1.5</v>
      </c>
      <c r="AB6" s="8" t="n">
        <v>2.166666666666667</v>
      </c>
      <c r="AC6" s="8" t="n">
        <v>1.5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3</v>
      </c>
    </row>
    <row r="7" ht="12.75" customHeight="1">
      <c r="A7" s="41" t="n"/>
      <c r="B7" s="26" t="inlineStr">
        <is>
          <t>Bowser</t>
        </is>
      </c>
      <c r="C7" s="30" t="inlineStr">
        <is>
          <t>LF</t>
        </is>
      </c>
      <c r="D7" t="n">
        <v>3</v>
      </c>
      <c r="E7" t="n">
        <v>3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2</v>
      </c>
      <c r="Y7" s="8" t="n">
        <v>0.3333333333333333</v>
      </c>
      <c r="Z7" s="8" t="n">
        <v>0.3333333333333333</v>
      </c>
      <c r="AA7" s="8" t="n">
        <v>0.3333333333333333</v>
      </c>
      <c r="AB7" s="8" t="n">
        <v>0.6666666666666666</v>
      </c>
      <c r="AC7" s="8" t="n">
        <v>0.5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1</v>
      </c>
    </row>
    <row r="8" ht="12.75" customHeight="1">
      <c r="A8" s="41" t="n"/>
      <c r="B8" s="26" t="inlineStr">
        <is>
          <t>Red Koopa Troopa</t>
        </is>
      </c>
      <c r="C8" s="30" t="inlineStr">
        <is>
          <t>2B, P</t>
        </is>
      </c>
      <c r="D8" t="n">
        <v>3</v>
      </c>
      <c r="E8" t="n">
        <v>3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s="8" t="n">
        <v>0.3333333333333333</v>
      </c>
      <c r="Z8" s="8" t="n">
        <v>0.3333333333333333</v>
      </c>
      <c r="AA8" s="8" t="n">
        <v>0.3333333333333333</v>
      </c>
      <c r="AB8" s="8" t="n">
        <v>0.6666666666666666</v>
      </c>
      <c r="AC8" s="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1</v>
      </c>
      <c r="AN8" t="n">
        <v>1</v>
      </c>
    </row>
    <row r="9" ht="12.75" customHeight="1">
      <c r="A9" s="41" t="n"/>
      <c r="B9" s="26" t="inlineStr">
        <is>
          <t>Wiggler</t>
        </is>
      </c>
      <c r="C9" s="30" t="inlineStr">
        <is>
          <t>3B, P, 2B</t>
        </is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Peach</t>
        </is>
      </c>
      <c r="C10" s="30" t="inlineStr">
        <is>
          <t>SS</t>
        </is>
      </c>
      <c r="D10" t="n">
        <v>2</v>
      </c>
      <c r="E10" t="n">
        <v>2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2</v>
      </c>
      <c r="Y10" s="8" t="n">
        <v>0.5</v>
      </c>
      <c r="Z10" s="8" t="n">
        <v>0.5</v>
      </c>
      <c r="AA10" s="8" t="n">
        <v>1</v>
      </c>
      <c r="AB10" s="8" t="n">
        <v>1.5</v>
      </c>
      <c r="AC10" s="8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2</v>
      </c>
    </row>
    <row r="11" ht="12.75" customHeight="1">
      <c r="A11" s="42" t="n"/>
      <c r="B11" s="27" t="inlineStr">
        <is>
          <t>Spitballs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Toadsworth</t>
        </is>
      </c>
      <c r="C12" s="30" t="inlineStr">
        <is>
          <t>C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0</v>
      </c>
      <c r="Y12" s="8" t="n">
        <v>0.3333333333333333</v>
      </c>
      <c r="Z12" s="8" t="n">
        <v>0.3333333333333333</v>
      </c>
      <c r="AA12" s="8" t="n">
        <v>1.333333333333333</v>
      </c>
      <c r="AB12" s="8" t="n">
        <v>1.666666666666667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Red Magikoopa</t>
        </is>
      </c>
      <c r="C13" s="30" t="inlineStr">
        <is>
          <t>SS</t>
        </is>
      </c>
      <c r="D13" t="n">
        <v>3</v>
      </c>
      <c r="E13" t="n">
        <v>4</v>
      </c>
      <c r="F13" t="n">
        <v>1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s="8" t="n">
        <v>0.3333333333333333</v>
      </c>
      <c r="Z13" s="8" t="n">
        <v>0.5</v>
      </c>
      <c r="AA13" s="8" t="n">
        <v>0.6666666666666666</v>
      </c>
      <c r="AB13" s="8" t="n">
        <v>1.166666666666667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Purple Toad</t>
        </is>
      </c>
      <c r="C14" s="30" t="inlineStr">
        <is>
          <t>CF</t>
        </is>
      </c>
      <c r="D14" t="n">
        <v>4</v>
      </c>
      <c r="E14" t="n">
        <v>4</v>
      </c>
      <c r="F14" t="n">
        <v>2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1</v>
      </c>
      <c r="Y14" s="8" t="n">
        <v>0.5</v>
      </c>
      <c r="Z14" s="8" t="n">
        <v>0.5</v>
      </c>
      <c r="AA14" s="8" t="n">
        <v>1</v>
      </c>
      <c r="AB14" s="8" t="n">
        <v>1.5</v>
      </c>
      <c r="AC14" s="8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Red Toad</t>
        </is>
      </c>
      <c r="C15" s="30" t="inlineStr">
        <is>
          <t>3B</t>
        </is>
      </c>
      <c r="D15" t="n">
        <v>4</v>
      </c>
      <c r="E15" t="n">
        <v>4</v>
      </c>
      <c r="F15" t="n">
        <v>2</v>
      </c>
      <c r="G15" t="n">
        <v>2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8</v>
      </c>
      <c r="V15" t="n">
        <v>0</v>
      </c>
      <c r="W15" t="n">
        <v>0</v>
      </c>
      <c r="X15" t="n">
        <v>0</v>
      </c>
      <c r="Y15" s="8" t="n">
        <v>0.5</v>
      </c>
      <c r="Z15" s="8" t="n">
        <v>0.5</v>
      </c>
      <c r="AA15" s="8" t="n">
        <v>2</v>
      </c>
      <c r="AB15" s="8" t="n">
        <v>2.5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1</v>
      </c>
      <c r="AN15" t="n">
        <v>0</v>
      </c>
    </row>
    <row r="16" ht="12.75" customHeight="1">
      <c r="A16" s="41" t="n"/>
      <c r="B16" s="26" t="inlineStr">
        <is>
          <t>Red Kritter</t>
        </is>
      </c>
      <c r="C16" s="30" t="inlineStr">
        <is>
          <t>1B</t>
        </is>
      </c>
      <c r="D16" t="n">
        <v>4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2</v>
      </c>
      <c r="Y16" s="8" t="n">
        <v>0</v>
      </c>
      <c r="Z16" s="8" t="n">
        <v>0</v>
      </c>
      <c r="AA16" s="8" t="n">
        <v>1</v>
      </c>
      <c r="AB16" s="8" t="n">
        <v>1</v>
      </c>
      <c r="AC16" s="8" t="n">
        <v>2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1</v>
      </c>
      <c r="AN16" t="n">
        <v>4</v>
      </c>
    </row>
    <row r="17" ht="12.75" customHeight="1">
      <c r="A17" s="41" t="n"/>
      <c r="B17" s="26" t="inlineStr">
        <is>
          <t>Shy Guy</t>
        </is>
      </c>
      <c r="C17" s="30" t="inlineStr">
        <is>
          <t>LF</t>
        </is>
      </c>
      <c r="D17" t="n">
        <v>2</v>
      </c>
      <c r="E17" t="n">
        <v>2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s="8" t="n">
        <v>0.5</v>
      </c>
      <c r="Z17" s="8" t="n">
        <v>0.5</v>
      </c>
      <c r="AA17" s="8" t="n">
        <v>1</v>
      </c>
      <c r="AB17" s="8" t="n">
        <v>1.5</v>
      </c>
      <c r="AC17" s="8" t="n">
        <v>0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Mario</t>
        </is>
      </c>
      <c r="C18" s="30" t="inlineStr">
        <is>
          <t>2B</t>
        </is>
      </c>
      <c r="D18" t="n">
        <v>3</v>
      </c>
      <c r="E18" t="n">
        <v>3</v>
      </c>
      <c r="F18" t="n">
        <v>4</v>
      </c>
      <c r="G18" t="n">
        <v>3</v>
      </c>
      <c r="H18" t="n">
        <v>1</v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0</v>
      </c>
      <c r="W18" t="n">
        <v>3</v>
      </c>
      <c r="X18" t="n">
        <v>3</v>
      </c>
      <c r="Y18" s="8" t="n">
        <v>1</v>
      </c>
      <c r="Z18" s="8" t="n">
        <v>1</v>
      </c>
      <c r="AA18" s="8" t="n">
        <v>1.333333333333333</v>
      </c>
      <c r="AB18" s="8" t="n">
        <v>2.333333333333333</v>
      </c>
      <c r="AC18" s="8" t="n">
        <v>1.333333333333333</v>
      </c>
      <c r="AD18" t="n">
        <v>0</v>
      </c>
      <c r="AE18" t="n">
        <v>0</v>
      </c>
      <c r="AF18" t="n">
        <v>0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s="5" t="n">
        <v>2</v>
      </c>
      <c r="AN18" t="n">
        <v>4</v>
      </c>
    </row>
    <row r="19" ht="12.75" customHeight="1">
      <c r="A19" s="41" t="n"/>
      <c r="B19" s="26" t="inlineStr">
        <is>
          <t>Bowser Jr.</t>
        </is>
      </c>
      <c r="C19" s="30" t="inlineStr">
        <is>
          <t>RF</t>
        </is>
      </c>
      <c r="D19" t="n">
        <v>3</v>
      </c>
      <c r="E19" t="n">
        <v>3</v>
      </c>
      <c r="F19" t="n">
        <v>3</v>
      </c>
      <c r="G19" t="n">
        <v>3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</v>
      </c>
      <c r="V19" t="n">
        <v>0</v>
      </c>
      <c r="W19" t="n">
        <v>1</v>
      </c>
      <c r="X19" t="n">
        <v>2</v>
      </c>
      <c r="Y19" s="8" t="n">
        <v>1</v>
      </c>
      <c r="Z19" s="8" t="n">
        <v>1</v>
      </c>
      <c r="AA19" s="8" t="n">
        <v>2.333333333333333</v>
      </c>
      <c r="AB19" s="8" t="n">
        <v>3.333333333333333</v>
      </c>
      <c r="AC19" s="8" t="n">
        <v>1</v>
      </c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1</v>
      </c>
      <c r="AN19" t="n">
        <v>2</v>
      </c>
    </row>
    <row r="20" ht="12.75" customHeight="1">
      <c r="A20" s="41" t="n"/>
      <c r="B20" s="26" t="inlineStr">
        <is>
          <t>Tiny Kong</t>
        </is>
      </c>
      <c r="C20" s="30" t="inlineStr">
        <is>
          <t>P</t>
        </is>
      </c>
      <c r="D20" t="n">
        <v>3</v>
      </c>
      <c r="E20" t="n">
        <v>3</v>
      </c>
      <c r="F20" t="n">
        <v>2</v>
      </c>
      <c r="G20" t="n">
        <v>1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1</v>
      </c>
      <c r="Y20" s="8" t="n">
        <v>0.3333333333333333</v>
      </c>
      <c r="Z20" s="8" t="n">
        <v>0.3333333333333333</v>
      </c>
      <c r="AA20" s="8" t="n">
        <v>1.333333333333333</v>
      </c>
      <c r="AB20" s="8" t="n">
        <v>1.666666666666667</v>
      </c>
      <c r="AC20" s="8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Yellow Magikoopa</t>
        </is>
      </c>
      <c r="B2" t="inlineStr">
        <is>
          <t>Spitballs</t>
        </is>
      </c>
      <c r="C2" s="22" t="n">
        <v>2</v>
      </c>
      <c r="D2" s="11" t="n">
        <v>0.3333333333333333</v>
      </c>
      <c r="E2" t="n">
        <v>9</v>
      </c>
      <c r="F2" t="n">
        <v>2</v>
      </c>
      <c r="G2" t="n">
        <v>7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3</v>
      </c>
      <c r="Z2" s="8" t="n">
        <v>0</v>
      </c>
      <c r="AA2" s="8" t="n">
        <v>0.5</v>
      </c>
      <c r="AB2" s="8" t="n">
        <v>0</v>
      </c>
      <c r="AC2" s="8" t="n">
        <v>0.5</v>
      </c>
      <c r="AD2" t="n">
        <v>1</v>
      </c>
      <c r="AE2" t="n">
        <v>0</v>
      </c>
    </row>
    <row r="3" ht="12.75" customHeight="1">
      <c r="A3" s="7" t="inlineStr">
        <is>
          <t>Wiggler</t>
        </is>
      </c>
      <c r="B3" t="inlineStr">
        <is>
          <t>Spitballs</t>
        </is>
      </c>
      <c r="C3" s="22" t="n">
        <v>18</v>
      </c>
      <c r="D3" s="11" t="n">
        <v>2.333333333333333</v>
      </c>
      <c r="E3" t="n">
        <v>26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11</v>
      </c>
      <c r="L3" t="n">
        <v>14</v>
      </c>
      <c r="M3" t="n">
        <v>2</v>
      </c>
      <c r="N3" t="n">
        <v>5</v>
      </c>
      <c r="O3" t="n">
        <v>0</v>
      </c>
      <c r="P3" t="n">
        <v>5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42</v>
      </c>
      <c r="X3" s="8" t="n">
        <v>54</v>
      </c>
      <c r="Y3" s="8" t="n">
        <v>4.714285714285714</v>
      </c>
      <c r="Z3" s="8" t="n">
        <v>0.6111111111111112</v>
      </c>
      <c r="AA3" s="8" t="n">
        <v>0.6111111111111112</v>
      </c>
      <c r="AB3" s="8" t="n">
        <v>1.777777777777778</v>
      </c>
      <c r="AC3" s="8" t="n">
        <v>2.388888888888889</v>
      </c>
      <c r="AD3" t="n">
        <v>18</v>
      </c>
      <c r="AE3" t="n">
        <v>32</v>
      </c>
    </row>
    <row r="4" ht="12.75" customHeight="1">
      <c r="A4" s="7" t="inlineStr">
        <is>
          <t>Red Koopa Troopa</t>
        </is>
      </c>
      <c r="B4" t="inlineStr">
        <is>
          <t>Spitballs</t>
        </is>
      </c>
      <c r="C4" s="22" t="n">
        <v>10</v>
      </c>
      <c r="D4" s="11" t="n">
        <v>2.333333333333333</v>
      </c>
      <c r="E4" t="n">
        <v>14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3</v>
      </c>
      <c r="L4" t="n">
        <v>3</v>
      </c>
      <c r="M4" t="n">
        <v>0</v>
      </c>
      <c r="N4" t="n">
        <v>2</v>
      </c>
      <c r="O4" t="n">
        <v>1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9</v>
      </c>
      <c r="X4" s="8" t="n">
        <v>11.57142857142857</v>
      </c>
      <c r="Y4" s="8" t="n">
        <v>1.285714285714286</v>
      </c>
      <c r="Z4" s="8" t="n">
        <v>0.3</v>
      </c>
      <c r="AA4" s="8" t="n">
        <v>0.3</v>
      </c>
      <c r="AB4" s="8" t="n">
        <v>0.7</v>
      </c>
      <c r="AC4" s="8" t="n">
        <v>1</v>
      </c>
      <c r="AD4" t="n">
        <v>10</v>
      </c>
      <c r="AE4" t="n">
        <v>7</v>
      </c>
    </row>
    <row r="5" ht="12.75" customHeight="1">
      <c r="A5" s="7" t="inlineStr">
        <is>
          <t>Tiny Kong</t>
        </is>
      </c>
      <c r="B5" t="inlineStr">
        <is>
          <t>Fireballs</t>
        </is>
      </c>
      <c r="C5" s="22" t="n">
        <v>25</v>
      </c>
      <c r="D5" s="11" t="n">
        <v>5</v>
      </c>
      <c r="E5" t="n">
        <v>38</v>
      </c>
      <c r="F5" t="n">
        <v>13</v>
      </c>
      <c r="G5" t="n">
        <v>3</v>
      </c>
      <c r="H5" t="n">
        <v>0</v>
      </c>
      <c r="I5" t="n">
        <v>0</v>
      </c>
      <c r="J5" t="n">
        <v>0</v>
      </c>
      <c r="K5" t="n">
        <v>9</v>
      </c>
      <c r="L5" t="n">
        <v>4</v>
      </c>
      <c r="M5" t="n">
        <v>7</v>
      </c>
      <c r="N5" t="n">
        <v>2</v>
      </c>
      <c r="O5" t="n">
        <v>0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s="12" t="n">
        <v>5.6</v>
      </c>
      <c r="X5" s="8" t="n">
        <v>7.2</v>
      </c>
      <c r="Y5" s="8" t="n">
        <v>1.8</v>
      </c>
      <c r="Z5" s="8" t="n">
        <v>0.375</v>
      </c>
      <c r="AA5" s="8" t="n">
        <v>0.36</v>
      </c>
      <c r="AB5" s="8" t="n">
        <v>0.4583333333333333</v>
      </c>
      <c r="AC5" s="8" t="n">
        <v>0.8183333333333334</v>
      </c>
      <c r="AD5" t="n">
        <v>24</v>
      </c>
      <c r="AE5" t="n">
        <v>11</v>
      </c>
    </row>
    <row r="6" ht="12.75" customHeight="1">
      <c r="A6" s="47" t="inlineStr">
        <is>
          <t>Spitballs Totals</t>
        </is>
      </c>
      <c r="B6" s="43" t="inlineStr">
        <is>
          <t>Spitballs</t>
        </is>
      </c>
      <c r="C6" s="48">
        <f>SUM(C2:C4)</f>
        <v/>
      </c>
      <c r="D6" s="49">
        <f>SUM(D2:D4)</f>
        <v/>
      </c>
      <c r="E6" s="43">
        <f>SUM(E2:E4)</f>
        <v/>
      </c>
      <c r="F6" s="43">
        <f>SUM(F2:F4)</f>
        <v/>
      </c>
      <c r="G6" s="43">
        <f>SUM(G2:G4)</f>
        <v/>
      </c>
      <c r="H6" s="43">
        <f>SUM(H2:H4)</f>
        <v/>
      </c>
      <c r="I6" s="43">
        <f>SUM(I2:I4)</f>
        <v/>
      </c>
      <c r="J6" s="43">
        <f>SUM(J2:J4)</f>
        <v/>
      </c>
      <c r="K6" s="43">
        <f>SUM(K2:K4)</f>
        <v/>
      </c>
      <c r="L6" s="43">
        <f>SUM(L2:L4)</f>
        <v/>
      </c>
      <c r="M6" s="43">
        <f>SUM(M2:M4)</f>
        <v/>
      </c>
      <c r="N6" s="43">
        <f>SUM(N2:N4)</f>
        <v/>
      </c>
      <c r="O6" s="43">
        <f>SUM(O2:O4)</f>
        <v/>
      </c>
      <c r="P6" s="43">
        <f>SUM(P2:P4)</f>
        <v/>
      </c>
      <c r="Q6" s="43">
        <f>SUM(Q2:Q4)</f>
        <v/>
      </c>
      <c r="R6" s="43">
        <f>SUM(R2:R4)</f>
        <v/>
      </c>
      <c r="S6" s="43">
        <f>SUM(S2:S4)</f>
        <v/>
      </c>
      <c r="T6" s="43">
        <f>SUM(T2:T4)</f>
        <v/>
      </c>
      <c r="U6" s="43">
        <f>SUM(U2:U4)</f>
        <v/>
      </c>
      <c r="V6" s="43">
        <f>SUM(V2:V4)</f>
        <v/>
      </c>
      <c r="W6" s="50">
        <f>IF(D6=0,"INF",Q6*7/D6)</f>
        <v/>
      </c>
      <c r="X6" s="50">
        <f>IF(D6=0,"INF",Q6*9/D6)</f>
        <v/>
      </c>
      <c r="Y6" s="50">
        <f>IF(D6=0,"INF",(I6+K6)/D6)</f>
        <v/>
      </c>
      <c r="Z6" s="50">
        <f>IF(SUM(AD2:AD4)=0,0,SUM(K2:K4)/SUM(AD2:AD4))</f>
        <v/>
      </c>
      <c r="AA6" s="50">
        <f>IF(SUM(C2:C4)=0,0,(SUM(K2:K4)+SUM(I2:I4)+SUM(J2:J4))/SUM(C2:C4))</f>
        <v/>
      </c>
      <c r="AB6" s="50">
        <f>IF(SUM(AD2:AD4)=0,0,SUM(AE2:AE4)/SUM(AD2:AD4))</f>
        <v/>
      </c>
      <c r="AC6" s="50">
        <f>AA6+AB6</f>
        <v/>
      </c>
      <c r="AD6" s="43" t="n"/>
      <c r="AE6" s="43" t="n"/>
    </row>
    <row r="7" ht="12.75" customHeight="1">
      <c r="A7" s="51" t="inlineStr">
        <is>
          <t>Fireballs Totals</t>
        </is>
      </c>
      <c r="B7" s="46" t="inlineStr">
        <is>
          <t>Fireballs</t>
        </is>
      </c>
      <c r="C7" s="52">
        <f>SUM(C5:C5)</f>
        <v/>
      </c>
      <c r="D7" s="53">
        <f>SUM(D5:D5)</f>
        <v/>
      </c>
      <c r="E7" s="46">
        <f>SUM(E5:E5)</f>
        <v/>
      </c>
      <c r="F7" s="46">
        <f>SUM(F5:F5)</f>
        <v/>
      </c>
      <c r="G7" s="46">
        <f>SUM(G5:G5)</f>
        <v/>
      </c>
      <c r="H7" s="46">
        <f>SUM(H5:H5)</f>
        <v/>
      </c>
      <c r="I7" s="46">
        <f>SUM(I5:I5)</f>
        <v/>
      </c>
      <c r="J7" s="46">
        <f>SUM(J5:J5)</f>
        <v/>
      </c>
      <c r="K7" s="46">
        <f>SUM(K5:K5)</f>
        <v/>
      </c>
      <c r="L7" s="46">
        <f>SUM(L5:L5)</f>
        <v/>
      </c>
      <c r="M7" s="46">
        <f>SUM(M5:M5)</f>
        <v/>
      </c>
      <c r="N7" s="46">
        <f>SUM(N5:N5)</f>
        <v/>
      </c>
      <c r="O7" s="46">
        <f>SUM(O5:O5)</f>
        <v/>
      </c>
      <c r="P7" s="46">
        <f>SUM(P5:P5)</f>
        <v/>
      </c>
      <c r="Q7" s="46">
        <f>SUM(Q5:Q5)</f>
        <v/>
      </c>
      <c r="R7" s="46">
        <f>SUM(R5:R5)</f>
        <v/>
      </c>
      <c r="S7" s="46">
        <f>SUM(S5:S5)</f>
        <v/>
      </c>
      <c r="T7" s="46">
        <f>SUM(T5:T5)</f>
        <v/>
      </c>
      <c r="U7" s="46">
        <f>SUM(U5:U5)</f>
        <v/>
      </c>
      <c r="V7" s="46">
        <f>SUM(V5:V5)</f>
        <v/>
      </c>
      <c r="W7" s="54">
        <f>IF(D7=0,"INF",Q7*7/D7)</f>
        <v/>
      </c>
      <c r="X7" s="54">
        <f>IF(D7=0,"INF",Q7*9/D7)</f>
        <v/>
      </c>
      <c r="Y7" s="54">
        <f>IF(D7=0,"INF",(I7+K7)/D7)</f>
        <v/>
      </c>
      <c r="Z7" s="54">
        <f>IF(SUM(AD5:AD5)=0,0,SUM(K5:K5)/SUM(AD5:AD5))</f>
        <v/>
      </c>
      <c r="AA7" s="54">
        <f>IF(SUM(C5:C5)=0,0,(SUM(K5:K5)+SUM(I5:I5)+SUM(J5:J5))/SUM(C5:C5))</f>
        <v/>
      </c>
      <c r="AB7" s="54">
        <f>IF(SUM(AD5:AD5)=0,0,SUM(AE5:AE5)/SUM(AD5:AD5))</f>
        <v/>
      </c>
      <c r="AC7" s="54">
        <f>AA7+AB7</f>
        <v/>
      </c>
      <c r="AD7" s="46" t="n"/>
      <c r="AE7" s="46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2026-09-11T16:28:45Z</dcterms:modified>
</cp:coreProperties>
</file>