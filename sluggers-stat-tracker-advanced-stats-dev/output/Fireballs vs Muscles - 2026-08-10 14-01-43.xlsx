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5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Wario Muscles</t>
        </is>
      </c>
    </row>
    <row r="12" ht="40.5" customHeight="1">
      <c r="I12" s="33" t="n">
        <v>9</v>
      </c>
      <c r="P12" s="33" t="n">
        <v>10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Mario Stadium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Yoshi</t>
        </is>
      </c>
      <c r="K20" s="19" t="inlineStr">
        <is>
          <t>CF</t>
        </is>
      </c>
      <c r="Q20" s="19" t="inlineStr">
        <is>
          <t>3B</t>
        </is>
      </c>
      <c r="R20" s="20" t="inlineStr">
        <is>
          <t>Blue Kritter</t>
        </is>
      </c>
    </row>
    <row r="21" ht="15" customHeight="1">
      <c r="J21" s="17" t="inlineStr">
        <is>
          <t>Green Paratroopa</t>
        </is>
      </c>
      <c r="K21" s="19" t="inlineStr">
        <is>
          <t>SS</t>
        </is>
      </c>
      <c r="Q21" s="19" t="inlineStr">
        <is>
          <t>LF</t>
        </is>
      </c>
      <c r="R21" s="20" t="inlineStr">
        <is>
          <t>Toadette</t>
        </is>
      </c>
    </row>
    <row r="22" ht="15" customHeight="1">
      <c r="J22" s="17" t="inlineStr">
        <is>
          <t>Mario</t>
        </is>
      </c>
      <c r="K22" s="19" t="inlineStr">
        <is>
          <t>P</t>
        </is>
      </c>
      <c r="Q22" s="19" t="inlineStr">
        <is>
          <t>C</t>
        </is>
      </c>
      <c r="R22" s="20" t="inlineStr">
        <is>
          <t>Bowser</t>
        </is>
      </c>
    </row>
    <row r="23" ht="15" customHeight="1">
      <c r="J23" s="17" t="inlineStr">
        <is>
          <t>Hammer Bro.</t>
        </is>
      </c>
      <c r="K23" s="19" t="inlineStr">
        <is>
          <t>2B</t>
        </is>
      </c>
      <c r="Q23" s="19" t="inlineStr">
        <is>
          <t>P</t>
        </is>
      </c>
      <c r="R23" s="20" t="inlineStr">
        <is>
          <t>Wario</t>
        </is>
      </c>
    </row>
    <row r="24" ht="15" customHeight="1">
      <c r="J24" s="17" t="inlineStr">
        <is>
          <t>Blue Dry Bones</t>
        </is>
      </c>
      <c r="K24" s="19" t="inlineStr">
        <is>
          <t>1B</t>
        </is>
      </c>
      <c r="Q24" s="19" t="inlineStr">
        <is>
          <t>SS</t>
        </is>
      </c>
      <c r="R24" s="20" t="inlineStr">
        <is>
          <t>Blue Pianta</t>
        </is>
      </c>
    </row>
    <row r="25" ht="15" customHeight="1">
      <c r="J25" s="17" t="inlineStr">
        <is>
          <t>Dark Bones</t>
        </is>
      </c>
      <c r="K25" s="19" t="inlineStr">
        <is>
          <t>C</t>
        </is>
      </c>
      <c r="Q25" s="19" t="inlineStr">
        <is>
          <t>1B</t>
        </is>
      </c>
      <c r="R25" s="20" t="inlineStr">
        <is>
          <t>Red Pianta</t>
        </is>
      </c>
    </row>
    <row r="26" ht="15" customHeight="1">
      <c r="J26" s="17" t="inlineStr">
        <is>
          <t>Yellow Shy Guy</t>
        </is>
      </c>
      <c r="K26" s="19" t="inlineStr">
        <is>
          <t>3B</t>
        </is>
      </c>
      <c r="Q26" s="19" t="inlineStr">
        <is>
          <t>RF</t>
        </is>
      </c>
      <c r="R26" s="20" t="inlineStr">
        <is>
          <t>Tiny Kong</t>
        </is>
      </c>
    </row>
    <row r="27" ht="15" customHeight="1">
      <c r="J27" s="17" t="inlineStr">
        <is>
          <t>Fire Bro.</t>
        </is>
      </c>
      <c r="K27" s="19" t="inlineStr">
        <is>
          <t>RF</t>
        </is>
      </c>
      <c r="Q27" s="19" t="inlineStr">
        <is>
          <t>CF</t>
        </is>
      </c>
      <c r="R27" s="20" t="inlineStr">
        <is>
          <t>Baby DK</t>
        </is>
      </c>
    </row>
    <row r="28" ht="15" customHeight="1">
      <c r="J28" s="17" t="inlineStr">
        <is>
          <t>Blooper</t>
        </is>
      </c>
      <c r="K28" s="19" t="inlineStr">
        <is>
          <t>LF</t>
        </is>
      </c>
      <c r="Q28" s="19" t="inlineStr">
        <is>
          <t>2B</t>
        </is>
      </c>
      <c r="R28" s="20" t="inlineStr">
        <is>
          <t>Shy Guy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4</v>
      </c>
      <c r="L31" t="n">
        <v>0</v>
      </c>
      <c r="M31" t="n">
        <v>5</v>
      </c>
      <c r="N31" s="39" t="n">
        <v>9</v>
      </c>
    </row>
    <row r="32" ht="15" customHeight="1">
      <c r="J32" s="17" t="inlineStr">
        <is>
          <t>Wario Muscles</t>
        </is>
      </c>
      <c r="K32" t="n">
        <v>4</v>
      </c>
      <c r="L32" t="n">
        <v>0</v>
      </c>
      <c r="M32" t="n">
        <v>6</v>
      </c>
      <c r="N32" s="39" t="n">
        <v>10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Yoshi</t>
        </is>
      </c>
      <c r="C2" s="30" t="inlineStr">
        <is>
          <t>CF</t>
        </is>
      </c>
      <c r="D2" t="n">
        <v>3</v>
      </c>
      <c r="E2" t="n">
        <v>3</v>
      </c>
      <c r="F2" s="1" t="n">
        <v>1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0</v>
      </c>
      <c r="W2" t="n">
        <v>0</v>
      </c>
      <c r="X2" t="n">
        <v>0</v>
      </c>
      <c r="Y2" s="8" t="n">
        <v>0.6666666666666666</v>
      </c>
      <c r="Z2" s="8" t="n">
        <v>0.6666666666666666</v>
      </c>
      <c r="AA2" s="8" t="n">
        <v>1</v>
      </c>
      <c r="AB2" s="8" t="n">
        <v>1.666666666666667</v>
      </c>
      <c r="AC2" s="8" t="n"/>
      <c r="AD2" t="n">
        <v>0</v>
      </c>
      <c r="AE2" t="n">
        <v>0</v>
      </c>
      <c r="AF2" t="n">
        <v>0</v>
      </c>
      <c r="AG2" t="n">
        <v>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Green Paratroopa</t>
        </is>
      </c>
      <c r="C3" s="30" t="inlineStr">
        <is>
          <t>SS</t>
        </is>
      </c>
      <c r="D3" t="n">
        <v>3</v>
      </c>
      <c r="E3" t="n">
        <v>3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s="8" t="n">
        <v>0.3333333333333333</v>
      </c>
      <c r="Z3" s="8" t="n">
        <v>0.3333333333333333</v>
      </c>
      <c r="AA3" s="8" t="n">
        <v>0.3333333333333333</v>
      </c>
      <c r="AB3" s="8" t="n">
        <v>0.6666666666666666</v>
      </c>
      <c r="AC3" s="8" t="n"/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Mario</t>
        </is>
      </c>
      <c r="C4" s="30" t="inlineStr">
        <is>
          <t>P, RF</t>
        </is>
      </c>
      <c r="D4" t="n">
        <v>2</v>
      </c>
      <c r="E4" t="n">
        <v>2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s="8" t="n">
        <v>0.5</v>
      </c>
      <c r="Z4" s="8" t="n">
        <v>0.5</v>
      </c>
      <c r="AA4" s="8" t="n">
        <v>0.5</v>
      </c>
      <c r="AB4" s="8" t="n">
        <v>1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</v>
      </c>
      <c r="AK4" t="n">
        <v>0</v>
      </c>
      <c r="AL4" t="n">
        <v>0</v>
      </c>
      <c r="AM4" s="5" t="n">
        <v>1</v>
      </c>
      <c r="AN4" t="n">
        <v>0</v>
      </c>
    </row>
    <row r="5" ht="12.75" customHeight="1">
      <c r="A5" s="41" t="n"/>
      <c r="B5" s="26" t="inlineStr">
        <is>
          <t>Hammer Bro.</t>
        </is>
      </c>
      <c r="C5" s="30" t="inlineStr">
        <is>
          <t>2B</t>
        </is>
      </c>
      <c r="D5" t="n">
        <v>2</v>
      </c>
      <c r="E5" t="n">
        <v>2</v>
      </c>
      <c r="F5" t="n">
        <v>2</v>
      </c>
      <c r="G5" t="n">
        <v>2</v>
      </c>
      <c r="H5" t="n">
        <v>3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5</v>
      </c>
      <c r="V5" t="n">
        <v>0</v>
      </c>
      <c r="W5" t="n">
        <v>0</v>
      </c>
      <c r="X5" t="n">
        <v>0</v>
      </c>
      <c r="Y5" s="8" t="n">
        <v>1</v>
      </c>
      <c r="Z5" s="8" t="n">
        <v>1</v>
      </c>
      <c r="AA5" s="8" t="n">
        <v>2.5</v>
      </c>
      <c r="AB5" s="8" t="n">
        <v>3.5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Blue Dry Bones</t>
        </is>
      </c>
      <c r="C6" s="30" t="inlineStr">
        <is>
          <t>1B</t>
        </is>
      </c>
      <c r="D6" t="n">
        <v>2</v>
      </c>
      <c r="E6" t="n">
        <v>2</v>
      </c>
      <c r="F6" t="n">
        <v>2</v>
      </c>
      <c r="G6" t="n">
        <v>2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8</v>
      </c>
      <c r="V6" t="n">
        <v>0</v>
      </c>
      <c r="W6" t="n">
        <v>0</v>
      </c>
      <c r="X6" t="n">
        <v>0</v>
      </c>
      <c r="Y6" s="8" t="n">
        <v>1</v>
      </c>
      <c r="Z6" s="8" t="n">
        <v>1</v>
      </c>
      <c r="AA6" s="8" t="n">
        <v>4</v>
      </c>
      <c r="AB6" s="8" t="n">
        <v>5</v>
      </c>
      <c r="AC6" s="8" t="n"/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Dark Bones</t>
        </is>
      </c>
      <c r="C7" s="30" t="inlineStr">
        <is>
          <t>C</t>
        </is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Yellow Shy Guy</t>
        </is>
      </c>
      <c r="C8" s="30" t="inlineStr">
        <is>
          <t>3B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Fire Bro.</t>
        </is>
      </c>
      <c r="C9" s="30" t="inlineStr">
        <is>
          <t>RF, P</t>
        </is>
      </c>
      <c r="D9" t="n">
        <v>2</v>
      </c>
      <c r="E9" t="n">
        <v>2</v>
      </c>
      <c r="F9" t="n">
        <v>1</v>
      </c>
      <c r="G9" t="n">
        <v>2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5</v>
      </c>
      <c r="V9" t="n">
        <v>0</v>
      </c>
      <c r="W9" t="n">
        <v>0</v>
      </c>
      <c r="X9" t="n">
        <v>0</v>
      </c>
      <c r="Y9" s="8" t="n">
        <v>1</v>
      </c>
      <c r="Z9" s="8" t="n">
        <v>1</v>
      </c>
      <c r="AA9" s="8" t="n">
        <v>2.5</v>
      </c>
      <c r="AB9" s="8" t="n">
        <v>3.5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Blooper</t>
        </is>
      </c>
      <c r="C10" s="30" t="inlineStr">
        <is>
          <t>LF</t>
        </is>
      </c>
      <c r="D10" t="n">
        <v>2</v>
      </c>
      <c r="E10" t="n">
        <v>2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  <c r="Y10" s="8" t="n">
        <v>0.5</v>
      </c>
      <c r="Z10" s="8" t="n">
        <v>0.5</v>
      </c>
      <c r="AA10" s="8" t="n">
        <v>1</v>
      </c>
      <c r="AB10" s="8" t="n">
        <v>1.5</v>
      </c>
      <c r="AC10" s="8" t="n"/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Muscles</t>
        </is>
      </c>
      <c r="B12" s="26" t="inlineStr">
        <is>
          <t>Blue Kritter</t>
        </is>
      </c>
      <c r="C12" s="30" t="inlineStr">
        <is>
          <t>3B</t>
        </is>
      </c>
      <c r="D12" t="n">
        <v>3</v>
      </c>
      <c r="E12" t="n">
        <v>3</v>
      </c>
      <c r="F12" t="n">
        <v>1</v>
      </c>
      <c r="G12" t="n">
        <v>1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4</v>
      </c>
      <c r="V12" t="n">
        <v>0</v>
      </c>
      <c r="W12" t="n">
        <v>0</v>
      </c>
      <c r="X12" t="n">
        <v>0</v>
      </c>
      <c r="Y12" s="8" t="n">
        <v>0.3333333333333333</v>
      </c>
      <c r="Z12" s="8" t="n">
        <v>0.3333333333333333</v>
      </c>
      <c r="AA12" s="8" t="n">
        <v>1.333333333333333</v>
      </c>
      <c r="AB12" s="8" t="n">
        <v>1.666666666666667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Toadette</t>
        </is>
      </c>
      <c r="C13" s="30" t="inlineStr">
        <is>
          <t>LF</t>
        </is>
      </c>
      <c r="D13" t="n">
        <v>2</v>
      </c>
      <c r="E13" t="n">
        <v>2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0</v>
      </c>
      <c r="W13" t="n">
        <v>0</v>
      </c>
      <c r="X13" t="n">
        <v>0</v>
      </c>
      <c r="Y13" s="8" t="n">
        <v>0.5</v>
      </c>
      <c r="Z13" s="8" t="n">
        <v>0.5</v>
      </c>
      <c r="AA13" s="8" t="n">
        <v>2</v>
      </c>
      <c r="AB13" s="8" t="n">
        <v>2.5</v>
      </c>
      <c r="AC13" s="8" t="n"/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Bowser</t>
        </is>
      </c>
      <c r="C14" s="30" t="inlineStr">
        <is>
          <t>C</t>
        </is>
      </c>
      <c r="D14" t="n">
        <v>2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Wario</t>
        </is>
      </c>
      <c r="C15" s="30" t="inlineStr">
        <is>
          <t>P</t>
        </is>
      </c>
      <c r="D15" t="n">
        <v>2</v>
      </c>
      <c r="E15" t="n">
        <v>2</v>
      </c>
      <c r="F15" t="n">
        <v>2</v>
      </c>
      <c r="G15" t="n">
        <v>2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5</v>
      </c>
      <c r="V15" t="n">
        <v>0</v>
      </c>
      <c r="W15" t="n">
        <v>1</v>
      </c>
      <c r="X15" t="n">
        <v>1</v>
      </c>
      <c r="Y15" s="8" t="n">
        <v>1</v>
      </c>
      <c r="Z15" s="8" t="n">
        <v>1</v>
      </c>
      <c r="AA15" s="8" t="n">
        <v>2.5</v>
      </c>
      <c r="AB15" s="8" t="n">
        <v>3.5</v>
      </c>
      <c r="AC15" s="8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1</v>
      </c>
    </row>
    <row r="16" ht="12.75" customHeight="1">
      <c r="A16" s="41" t="n"/>
      <c r="B16" s="26" t="inlineStr">
        <is>
          <t>Blue Pianta</t>
        </is>
      </c>
      <c r="C16" s="30" t="inlineStr">
        <is>
          <t>SS</t>
        </is>
      </c>
      <c r="D16" t="n">
        <v>2</v>
      </c>
      <c r="E16" t="n">
        <v>2</v>
      </c>
      <c r="F16" t="n">
        <v>2</v>
      </c>
      <c r="G16" t="n">
        <v>2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8</v>
      </c>
      <c r="V16" t="n">
        <v>0</v>
      </c>
      <c r="W16" t="n">
        <v>0</v>
      </c>
      <c r="X16" t="n">
        <v>0</v>
      </c>
      <c r="Y16" s="8" t="n">
        <v>1</v>
      </c>
      <c r="Z16" s="8" t="n">
        <v>1</v>
      </c>
      <c r="AA16" s="8" t="n">
        <v>4</v>
      </c>
      <c r="AB16" s="8" t="n">
        <v>5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Red Pianta</t>
        </is>
      </c>
      <c r="C17" s="30" t="inlineStr">
        <is>
          <t>1B</t>
        </is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8</v>
      </c>
      <c r="V17" t="n">
        <v>0</v>
      </c>
      <c r="W17" t="n">
        <v>0</v>
      </c>
      <c r="X17" t="n">
        <v>0</v>
      </c>
      <c r="Y17" s="8" t="n">
        <v>1</v>
      </c>
      <c r="Z17" s="8" t="n">
        <v>1</v>
      </c>
      <c r="AA17" s="8" t="n">
        <v>4</v>
      </c>
      <c r="AB17" s="8" t="n">
        <v>5</v>
      </c>
      <c r="AC17" s="8" t="n"/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Tiny Kong</t>
        </is>
      </c>
      <c r="C18" s="30" t="inlineStr">
        <is>
          <t>RF</t>
        </is>
      </c>
      <c r="D18" t="n">
        <v>2</v>
      </c>
      <c r="E18" t="n">
        <v>2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2</v>
      </c>
      <c r="Y18" s="8" t="n">
        <v>0.5</v>
      </c>
      <c r="Z18" s="8" t="n">
        <v>0.5</v>
      </c>
      <c r="AA18" s="8" t="n">
        <v>0.5</v>
      </c>
      <c r="AB18" s="8" t="n">
        <v>1</v>
      </c>
      <c r="AC18" s="8" t="n">
        <v>0.5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1</v>
      </c>
    </row>
    <row r="19" ht="12.75" customHeight="1">
      <c r="A19" s="41" t="n"/>
      <c r="B19" s="26" t="inlineStr">
        <is>
          <t>Baby DK</t>
        </is>
      </c>
      <c r="C19" s="30" t="inlineStr">
        <is>
          <t>CF</t>
        </is>
      </c>
      <c r="D19" t="n">
        <v>2</v>
      </c>
      <c r="E19" t="n">
        <v>2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s="8" t="n">
        <v>0.5</v>
      </c>
      <c r="Z19" s="8" t="n">
        <v>0.5</v>
      </c>
      <c r="AA19" s="8" t="n">
        <v>0.5</v>
      </c>
      <c r="AB19" s="8" t="n">
        <v>1</v>
      </c>
      <c r="AC19" s="8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s="5" t="n">
        <v>0</v>
      </c>
      <c r="AN19" t="n">
        <v>1</v>
      </c>
    </row>
    <row r="20" ht="12.75" customHeight="1">
      <c r="A20" s="41" t="n"/>
      <c r="B20" s="26" t="inlineStr">
        <is>
          <t>Shy Guy</t>
        </is>
      </c>
      <c r="C20" s="30" t="inlineStr">
        <is>
          <t>2B</t>
        </is>
      </c>
      <c r="D20" t="n">
        <v>2</v>
      </c>
      <c r="E20" t="n">
        <v>2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s="8" t="n">
        <v>0.5</v>
      </c>
      <c r="Z20" s="8" t="n">
        <v>0.5</v>
      </c>
      <c r="AA20" s="8" t="n">
        <v>0.5</v>
      </c>
      <c r="AB20" s="8" t="n">
        <v>1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Muscles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Mario</t>
        </is>
      </c>
      <c r="B2" t="inlineStr">
        <is>
          <t>Fireballs</t>
        </is>
      </c>
      <c r="C2" s="22" t="n">
        <v>1</v>
      </c>
      <c r="D2" s="11" t="n">
        <v>0.3333333333333333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t="n">
        <v>1</v>
      </c>
      <c r="AE2" t="n">
        <v>0</v>
      </c>
    </row>
    <row r="3" ht="12.75" customHeight="1">
      <c r="A3" s="7" t="inlineStr">
        <is>
          <t>Fire Bro.</t>
        </is>
      </c>
      <c r="B3" t="inlineStr">
        <is>
          <t>Fireballs</t>
        </is>
      </c>
      <c r="C3" s="22" t="n">
        <v>18</v>
      </c>
      <c r="D3" s="11" t="n">
        <v>2.333333333333333</v>
      </c>
      <c r="E3" t="n">
        <v>26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11</v>
      </c>
      <c r="L3" t="n">
        <v>10</v>
      </c>
      <c r="M3" t="n">
        <v>4</v>
      </c>
      <c r="N3" t="n">
        <v>0</v>
      </c>
      <c r="O3" t="n">
        <v>0</v>
      </c>
      <c r="P3" t="n">
        <v>7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30</v>
      </c>
      <c r="X3" s="8" t="n">
        <v>38.57142857142857</v>
      </c>
      <c r="Y3" s="8" t="n">
        <v>4.714285714285714</v>
      </c>
      <c r="Z3" s="8" t="n">
        <v>0.6111111111111112</v>
      </c>
      <c r="AA3" s="8" t="n">
        <v>0.6111111111111112</v>
      </c>
      <c r="AB3" s="8" t="n">
        <v>1.777777777777778</v>
      </c>
      <c r="AC3" s="8" t="n">
        <v>2.388888888888889</v>
      </c>
      <c r="AD3" t="n">
        <v>18</v>
      </c>
      <c r="AE3" t="n">
        <v>32</v>
      </c>
    </row>
    <row r="4" ht="12.75" customHeight="1">
      <c r="A4" s="7" t="inlineStr">
        <is>
          <t>Wario</t>
        </is>
      </c>
      <c r="B4" t="inlineStr">
        <is>
          <t>Muscles</t>
        </is>
      </c>
      <c r="C4" s="22" t="n">
        <v>20</v>
      </c>
      <c r="D4" s="11" t="n">
        <v>3</v>
      </c>
      <c r="E4" t="n">
        <v>35</v>
      </c>
      <c r="F4" t="n">
        <v>11</v>
      </c>
      <c r="G4" t="n">
        <v>0</v>
      </c>
      <c r="H4" t="n">
        <v>1</v>
      </c>
      <c r="I4" t="n">
        <v>0</v>
      </c>
      <c r="J4" t="n">
        <v>0</v>
      </c>
      <c r="K4" t="n">
        <v>11</v>
      </c>
      <c r="L4" t="n">
        <v>9</v>
      </c>
      <c r="M4" t="n">
        <v>5</v>
      </c>
      <c r="N4" t="n">
        <v>2</v>
      </c>
      <c r="O4" t="n">
        <v>0</v>
      </c>
      <c r="P4" t="n">
        <v>4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s="8" t="n">
        <v>21</v>
      </c>
      <c r="X4" s="8" t="n">
        <v>27</v>
      </c>
      <c r="Y4" s="8" t="n">
        <v>3.666666666666667</v>
      </c>
      <c r="Z4" s="8" t="n">
        <v>0.55</v>
      </c>
      <c r="AA4" s="8" t="n">
        <v>0.55</v>
      </c>
      <c r="AB4" s="8" t="n">
        <v>1.25</v>
      </c>
      <c r="AC4" s="8" t="n">
        <v>1.8</v>
      </c>
      <c r="AD4" t="n">
        <v>20</v>
      </c>
      <c r="AE4" t="n">
        <v>25</v>
      </c>
    </row>
    <row r="5" ht="12.75" customHeight="1">
      <c r="A5" s="47" t="inlineStr">
        <is>
          <t>Fireballs Totals</t>
        </is>
      </c>
      <c r="B5" s="43" t="inlineStr">
        <is>
          <t>Fireballs</t>
        </is>
      </c>
      <c r="C5" s="48">
        <f>SUM(C2:C3)</f>
        <v/>
      </c>
      <c r="D5" s="49">
        <f>SUM(D2:D3)</f>
        <v/>
      </c>
      <c r="E5" s="43">
        <f>SUM(E2:E3)</f>
        <v/>
      </c>
      <c r="F5" s="43">
        <f>SUM(F2:F3)</f>
        <v/>
      </c>
      <c r="G5" s="43">
        <f>SUM(G2:G3)</f>
        <v/>
      </c>
      <c r="H5" s="43">
        <f>SUM(H2:H3)</f>
        <v/>
      </c>
      <c r="I5" s="43">
        <f>SUM(I2:I3)</f>
        <v/>
      </c>
      <c r="J5" s="43">
        <f>SUM(J2:J3)</f>
        <v/>
      </c>
      <c r="K5" s="43">
        <f>SUM(K2:K3)</f>
        <v/>
      </c>
      <c r="L5" s="43">
        <f>SUM(L2:L3)</f>
        <v/>
      </c>
      <c r="M5" s="43">
        <f>SUM(M2:M3)</f>
        <v/>
      </c>
      <c r="N5" s="43">
        <f>SUM(N2:N3)</f>
        <v/>
      </c>
      <c r="O5" s="43">
        <f>SUM(O2:O3)</f>
        <v/>
      </c>
      <c r="P5" s="43">
        <f>SUM(P2:P3)</f>
        <v/>
      </c>
      <c r="Q5" s="43">
        <f>SUM(Q2:Q3)</f>
        <v/>
      </c>
      <c r="R5" s="43">
        <f>SUM(R2:R3)</f>
        <v/>
      </c>
      <c r="S5" s="43">
        <f>SUM(S2:S3)</f>
        <v/>
      </c>
      <c r="T5" s="43">
        <f>SUM(T2:T3)</f>
        <v/>
      </c>
      <c r="U5" s="43">
        <f>SUM(U2:U3)</f>
        <v/>
      </c>
      <c r="V5" s="43">
        <f>SUM(V2:V3)</f>
        <v/>
      </c>
      <c r="W5" s="50">
        <f>IF(D5=0,"INF",Q5*7/D5)</f>
        <v/>
      </c>
      <c r="X5" s="51">
        <f>IF(D5=0,"INF",Q5*9/D5)</f>
        <v/>
      </c>
      <c r="Y5" s="51">
        <f>IF(D5=0,"INF",(I5+K5)/D5)</f>
        <v/>
      </c>
      <c r="Z5" s="51">
        <f>IF(SUM(AD2:AD3)=0,0,SUM(K2:K3)/SUM(AD2:AD3))</f>
        <v/>
      </c>
      <c r="AA5" s="51">
        <f>IF(SUM(C2:C3)=0,0,(SUM(K2:K3)+SUM(I2:I3)+SUM(J2:J3))/SUM(C2:C3))</f>
        <v/>
      </c>
      <c r="AB5" s="51">
        <f>IF(SUM(AD2:AD3)=0,0,SUM(AE2:AE3)/SUM(AD2:AD3))</f>
        <v/>
      </c>
      <c r="AC5" s="51">
        <f>AA5+AB5</f>
        <v/>
      </c>
      <c r="AD5" s="43" t="n"/>
      <c r="AE5" s="43" t="n"/>
    </row>
    <row r="6" ht="12.75" customHeight="1">
      <c r="A6" s="52" t="inlineStr">
        <is>
          <t>Muscles Totals</t>
        </is>
      </c>
      <c r="B6" s="46" t="inlineStr">
        <is>
          <t>Muscles</t>
        </is>
      </c>
      <c r="C6" s="53">
        <f>SUM(C4:C4)</f>
        <v/>
      </c>
      <c r="D6" s="54">
        <f>SUM(D4:D4)</f>
        <v/>
      </c>
      <c r="E6" s="46">
        <f>SUM(E4:E4)</f>
        <v/>
      </c>
      <c r="F6" s="46">
        <f>SUM(F4:F4)</f>
        <v/>
      </c>
      <c r="G6" s="46">
        <f>SUM(G4:G4)</f>
        <v/>
      </c>
      <c r="H6" s="46">
        <f>SUM(H4:H4)</f>
        <v/>
      </c>
      <c r="I6" s="46">
        <f>SUM(I4:I4)</f>
        <v/>
      </c>
      <c r="J6" s="46">
        <f>SUM(J4:J4)</f>
        <v/>
      </c>
      <c r="K6" s="46">
        <f>SUM(K4:K4)</f>
        <v/>
      </c>
      <c r="L6" s="46">
        <f>SUM(L4:L4)</f>
        <v/>
      </c>
      <c r="M6" s="46">
        <f>SUM(M4:M4)</f>
        <v/>
      </c>
      <c r="N6" s="46">
        <f>SUM(N4:N4)</f>
        <v/>
      </c>
      <c r="O6" s="46">
        <f>SUM(O4:O4)</f>
        <v/>
      </c>
      <c r="P6" s="46">
        <f>SUM(P4:P4)</f>
        <v/>
      </c>
      <c r="Q6" s="46">
        <f>SUM(Q4:Q4)</f>
        <v/>
      </c>
      <c r="R6" s="46">
        <f>SUM(R4:R4)</f>
        <v/>
      </c>
      <c r="S6" s="46">
        <f>SUM(S4:S4)</f>
        <v/>
      </c>
      <c r="T6" s="46">
        <f>SUM(T4:T4)</f>
        <v/>
      </c>
      <c r="U6" s="46">
        <f>SUM(U4:U4)</f>
        <v/>
      </c>
      <c r="V6" s="46">
        <f>SUM(V4:V4)</f>
        <v/>
      </c>
      <c r="W6" s="55">
        <f>IF(D6=0,"INF",Q6*7/D6)</f>
        <v/>
      </c>
      <c r="X6" s="55">
        <f>IF(D6=0,"INF",Q6*9/D6)</f>
        <v/>
      </c>
      <c r="Y6" s="55">
        <f>IF(D6=0,"INF",(I6+K6)/D6)</f>
        <v/>
      </c>
      <c r="Z6" s="55">
        <f>IF(SUM(AD4:AD4)=0,0,SUM(K4:K4)/SUM(AD4:AD4))</f>
        <v/>
      </c>
      <c r="AA6" s="55">
        <f>IF(SUM(C4:C4)=0,0,(SUM(K4:K4)+SUM(I4:I4)+SUM(J4:J4))/SUM(C4:C4))</f>
        <v/>
      </c>
      <c r="AB6" s="55">
        <f>IF(SUM(AD4:AD4)=0,0,SUM(AE4:AE4)/SUM(AD4:AD4))</f>
        <v/>
      </c>
      <c r="AC6" s="55">
        <f>AA6+AB6</f>
        <v/>
      </c>
      <c r="AD6" s="46" t="n"/>
      <c r="AE6" s="46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2026-08-10T18:01:43Z</dcterms:modified>
</cp:coreProperties>
</file>