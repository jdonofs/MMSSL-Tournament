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7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Luigi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Peach</t>
        </is>
      </c>
    </row>
    <row r="21" ht="15" customHeight="1">
      <c r="J21" s="17" t="inlineStr">
        <is>
          <t>King K. Rool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Green Dry Bones</t>
        </is>
      </c>
    </row>
    <row r="22" ht="15" customHeight="1">
      <c r="J22" s="17" t="inlineStr">
        <is>
          <t>Yellow Pianta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Dry Bones</t>
        </is>
      </c>
    </row>
    <row r="23" ht="15" customHeight="1">
      <c r="J23" s="17" t="inlineStr">
        <is>
          <t>Funky Kong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Kritter</t>
        </is>
      </c>
    </row>
    <row r="24" ht="15" customHeight="1">
      <c r="J24" s="17" t="inlineStr">
        <is>
          <t>Orange Mii (M)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Wiggler</t>
        </is>
      </c>
    </row>
    <row r="25" ht="15" customHeight="1">
      <c r="J25" s="17" t="inlineStr">
        <is>
          <t>Red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Yellow Toad</t>
        </is>
      </c>
    </row>
    <row r="26" ht="15" customHeight="1">
      <c r="J26" s="17" t="inlineStr">
        <is>
          <t>Green Shy Guy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Monty Mole</t>
        </is>
      </c>
    </row>
    <row r="27" ht="15" customHeight="1">
      <c r="J27" s="17" t="inlineStr">
        <is>
          <t>Red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Paratroopa</t>
        </is>
      </c>
    </row>
    <row r="28" ht="15" customHeight="1">
      <c r="J28" s="17" t="inlineStr">
        <is>
          <t>Light Blue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Blue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4</v>
      </c>
      <c r="L31" t="n">
        <v>0</v>
      </c>
      <c r="M31" t="n">
        <v>3</v>
      </c>
      <c r="N31" s="39" t="n">
        <v>7</v>
      </c>
    </row>
    <row r="32" ht="15" customHeight="1">
      <c r="J32" s="17" t="inlineStr">
        <is>
          <t>Peach Monarchs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Luigi</t>
        </is>
      </c>
      <c r="C2" s="30" t="inlineStr">
        <is>
          <t>P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King K. Rool</t>
        </is>
      </c>
      <c r="C3" s="30" t="inlineStr">
        <is>
          <t>C</t>
        </is>
      </c>
      <c r="D3" t="n">
        <v>2</v>
      </c>
      <c r="E3" t="n">
        <v>2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Yellow Pianta</t>
        </is>
      </c>
      <c r="C4" s="30" t="inlineStr">
        <is>
          <t>1B</t>
        </is>
      </c>
      <c r="D4" t="n">
        <v>2</v>
      </c>
      <c r="E4" t="n">
        <v>2</v>
      </c>
      <c r="F4" t="n">
        <v>2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4</v>
      </c>
      <c r="AB4" s="8" t="n">
        <v>5</v>
      </c>
      <c r="AC4" s="8" t="n"/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s="5" t="n">
        <v>1</v>
      </c>
      <c r="AN4" t="n">
        <v>0</v>
      </c>
    </row>
    <row r="5" ht="12.75" customHeight="1">
      <c r="A5" s="41" t="n"/>
      <c r="B5" s="26" t="inlineStr">
        <is>
          <t>Funky Kong</t>
        </is>
      </c>
      <c r="C5" s="30" t="inlineStr">
        <is>
          <t>2B</t>
        </is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0.5</v>
      </c>
      <c r="AB5" s="8" t="n">
        <v>1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0</v>
      </c>
      <c r="AK5" t="n">
        <v>1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Orange Mii (M)</t>
        </is>
      </c>
      <c r="C6" s="30" t="inlineStr">
        <is>
          <t>3B</t>
        </is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0</v>
      </c>
      <c r="AJ6" t="n">
        <v>0</v>
      </c>
      <c r="AK6" t="n">
        <v>1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Red Toad</t>
        </is>
      </c>
      <c r="C7" s="30" t="inlineStr">
        <is>
          <t>SS</t>
        </is>
      </c>
      <c r="D7" t="n">
        <v>2</v>
      </c>
      <c r="E7" t="n">
        <v>2</v>
      </c>
      <c r="F7" t="n">
        <v>2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4</v>
      </c>
      <c r="AB7" s="8" t="n">
        <v>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>
        <is>
          <t>LF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>
        <is>
          <t>RF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Peach</t>
        </is>
      </c>
      <c r="C12" s="30" t="inlineStr">
        <is>
          <t>P, 1B</t>
        </is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Green Dry Bones</t>
        </is>
      </c>
      <c r="C13" s="30" t="inlineStr">
        <is>
          <t>C, 3B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1B, C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>
        <is>
          <t>2B, CF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Wiggler</t>
        </is>
      </c>
      <c r="C16" s="30" t="inlineStr">
        <is>
          <t>3B, RF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Toad</t>
        </is>
      </c>
      <c r="C17" s="30" t="inlineStr">
        <is>
          <t>SS, LF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LF, SS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Paratroopa</t>
        </is>
      </c>
      <c r="C19" s="30" t="inlineStr">
        <is>
          <t>CF, P</t>
        </is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s="8" t="n">
        <v>1</v>
      </c>
      <c r="Z19" s="8" t="n">
        <v>1</v>
      </c>
      <c r="AA19" s="8" t="n">
        <v>1</v>
      </c>
      <c r="AB19" s="8" t="n">
        <v>2</v>
      </c>
      <c r="AC19" s="8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Blue Shy Guy</t>
        </is>
      </c>
      <c r="C20" s="30" t="inlineStr">
        <is>
          <t>RF, 2B</t>
        </is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s="8" t="n">
        <v>1</v>
      </c>
      <c r="Z20" s="8" t="n">
        <v>1</v>
      </c>
      <c r="AA20" s="8" t="n">
        <v>1</v>
      </c>
      <c r="AB20" s="8" t="n">
        <v>2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10</v>
      </c>
      <c r="D2" s="11" t="n">
        <v>3</v>
      </c>
      <c r="E2" t="n">
        <v>13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0.6666666666666666</v>
      </c>
      <c r="Z2" s="8" t="n">
        <v>0.2</v>
      </c>
      <c r="AA2" s="8" t="n">
        <v>0.2</v>
      </c>
      <c r="AB2" s="8" t="n">
        <v>0.2</v>
      </c>
      <c r="AC2" s="8" t="n">
        <v>0.4</v>
      </c>
      <c r="AD2" t="n">
        <v>10</v>
      </c>
      <c r="AE2" t="n">
        <v>2</v>
      </c>
    </row>
    <row r="3" ht="12.75" customHeight="1">
      <c r="A3" s="7" t="inlineStr">
        <is>
          <t>Peach</t>
        </is>
      </c>
      <c r="B3" t="inlineStr">
        <is>
          <t>Monarchs</t>
        </is>
      </c>
      <c r="C3" s="22" t="n">
        <v>1</v>
      </c>
      <c r="D3" s="11" t="n">
        <v>0.3333333333333333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1</v>
      </c>
      <c r="AE3" t="n">
        <v>0</v>
      </c>
    </row>
    <row r="4" ht="12.75" customHeight="1">
      <c r="A4" s="7" t="inlineStr">
        <is>
          <t>Paratroopa</t>
        </is>
      </c>
      <c r="B4" t="inlineStr">
        <is>
          <t>Monarchs</t>
        </is>
      </c>
      <c r="C4" s="22" t="n">
        <v>15</v>
      </c>
      <c r="D4" s="11" t="n">
        <v>2.666666666666667</v>
      </c>
      <c r="E4" t="n">
        <v>24</v>
      </c>
      <c r="F4" t="n">
        <v>5</v>
      </c>
      <c r="G4" t="n">
        <v>0</v>
      </c>
      <c r="H4" t="n">
        <v>1</v>
      </c>
      <c r="I4" t="n">
        <v>0</v>
      </c>
      <c r="J4" t="n">
        <v>0</v>
      </c>
      <c r="K4" t="n">
        <v>7</v>
      </c>
      <c r="L4" t="n">
        <v>7</v>
      </c>
      <c r="M4" t="n">
        <v>3</v>
      </c>
      <c r="N4" t="n">
        <v>0</v>
      </c>
      <c r="O4" t="n">
        <v>0</v>
      </c>
      <c r="P4" t="n">
        <v>4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18.375</v>
      </c>
      <c r="X4" s="8" t="n">
        <v>23.625</v>
      </c>
      <c r="Y4" s="8" t="n">
        <v>2.625</v>
      </c>
      <c r="Z4" s="8" t="n">
        <v>0.4666666666666667</v>
      </c>
      <c r="AA4" s="8" t="n">
        <v>0.4666666666666667</v>
      </c>
      <c r="AB4" s="8" t="n">
        <v>1.266666666666667</v>
      </c>
      <c r="AC4" s="8" t="n">
        <v>1.733333333333333</v>
      </c>
      <c r="AD4" t="n">
        <v>15</v>
      </c>
      <c r="AE4" t="n">
        <v>19</v>
      </c>
    </row>
    <row r="5" ht="12.75" customHeight="1">
      <c r="A5" s="47" t="inlineStr">
        <is>
          <t>Knights Totals</t>
        </is>
      </c>
      <c r="B5" s="43" t="inlineStr">
        <is>
          <t>Knights</t>
        </is>
      </c>
      <c r="C5" s="48">
        <f>SUM(C2:C2)</f>
        <v/>
      </c>
      <c r="D5" s="49">
        <f>SUM(D2:D2)</f>
        <v/>
      </c>
      <c r="E5" s="43">
        <f>SUM(E2:E2)</f>
        <v/>
      </c>
      <c r="F5" s="43">
        <f>SUM(F2:F2)</f>
        <v/>
      </c>
      <c r="G5" s="43">
        <f>SUM(G2:G2)</f>
        <v/>
      </c>
      <c r="H5" s="43">
        <f>SUM(H2:H2)</f>
        <v/>
      </c>
      <c r="I5" s="43">
        <f>SUM(I2:I2)</f>
        <v/>
      </c>
      <c r="J5" s="43">
        <f>SUM(J2:J2)</f>
        <v/>
      </c>
      <c r="K5" s="43">
        <f>SUM(K2:K2)</f>
        <v/>
      </c>
      <c r="L5" s="43">
        <f>SUM(L2:L2)</f>
        <v/>
      </c>
      <c r="M5" s="43">
        <f>SUM(M2:M2)</f>
        <v/>
      </c>
      <c r="N5" s="43">
        <f>SUM(N2:N2)</f>
        <v/>
      </c>
      <c r="O5" s="43">
        <f>SUM(O2:O2)</f>
        <v/>
      </c>
      <c r="P5" s="43">
        <f>SUM(P2:P2)</f>
        <v/>
      </c>
      <c r="Q5" s="43">
        <f>SUM(Q2:Q2)</f>
        <v/>
      </c>
      <c r="R5" s="43">
        <f>SUM(R2:R2)</f>
        <v/>
      </c>
      <c r="S5" s="43">
        <f>SUM(S2:S2)</f>
        <v/>
      </c>
      <c r="T5" s="43">
        <f>SUM(T2:T2)</f>
        <v/>
      </c>
      <c r="U5" s="43">
        <f>SUM(U2:U2)</f>
        <v/>
      </c>
      <c r="V5" s="43">
        <f>SUM(V2:V2)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IF(SUM(AD2:AD2)=0,0,SUM(K2:K2)/SUM(AD2:AD2))</f>
        <v/>
      </c>
      <c r="AA5" s="51">
        <f>IF(SUM(C2:C2)=0,0,(SUM(K2:K2)+SUM(I2:I2)+SUM(J2:J2))/SUM(C2:C2))</f>
        <v/>
      </c>
      <c r="AB5" s="51">
        <f>IF(SUM(AD2:AD2)=0,0,SUM(AE2:AE2)/SUM(AD2:AD2))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Monarchs Totals</t>
        </is>
      </c>
      <c r="B6" s="46" t="inlineStr">
        <is>
          <t>Monarchs</t>
        </is>
      </c>
      <c r="C6" s="53">
        <f>SUM(C3:C4)</f>
        <v/>
      </c>
      <c r="D6" s="54">
        <f>SUM(D3:D4)</f>
        <v/>
      </c>
      <c r="E6" s="46">
        <f>SUM(E3:E4)</f>
        <v/>
      </c>
      <c r="F6" s="46">
        <f>SUM(F3:F4)</f>
        <v/>
      </c>
      <c r="G6" s="46">
        <f>SUM(G3:G4)</f>
        <v/>
      </c>
      <c r="H6" s="46">
        <f>SUM(H3:H4)</f>
        <v/>
      </c>
      <c r="I6" s="46">
        <f>SUM(I3:I4)</f>
        <v/>
      </c>
      <c r="J6" s="46">
        <f>SUM(J3:J4)</f>
        <v/>
      </c>
      <c r="K6" s="46">
        <f>SUM(K3:K4)</f>
        <v/>
      </c>
      <c r="L6" s="46">
        <f>SUM(L3:L4)</f>
        <v/>
      </c>
      <c r="M6" s="46">
        <f>SUM(M3:M4)</f>
        <v/>
      </c>
      <c r="N6" s="46">
        <f>SUM(N3:N4)</f>
        <v/>
      </c>
      <c r="O6" s="46">
        <f>SUM(O3:O4)</f>
        <v/>
      </c>
      <c r="P6" s="46">
        <f>SUM(P3:P4)</f>
        <v/>
      </c>
      <c r="Q6" s="46">
        <f>SUM(Q3:Q4)</f>
        <v/>
      </c>
      <c r="R6" s="46">
        <f>SUM(R3:R4)</f>
        <v/>
      </c>
      <c r="S6" s="46">
        <f>SUM(S3:S4)</f>
        <v/>
      </c>
      <c r="T6" s="46">
        <f>SUM(T3:T4)</f>
        <v/>
      </c>
      <c r="U6" s="46">
        <f>SUM(U3:U4)</f>
        <v/>
      </c>
      <c r="V6" s="46">
        <f>SUM(V3:V4)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IF(SUM(AD3:AD4)=0,0,SUM(K3:K4)/SUM(AD3:AD4))</f>
        <v/>
      </c>
      <c r="AA6" s="55">
        <f>IF(SUM(C3:C4)=0,0,(SUM(K3:K4)+SUM(I3:I4)+SUM(J3:J4))/SUM(C3:C4))</f>
        <v/>
      </c>
      <c r="AB6" s="55">
        <f>IF(SUM(AD3:AD4)=0,0,SUM(AE3:AE4)/SUM(AD3:AD4))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2026-09-18T18:47:15Z</dcterms:modified>
</cp:coreProperties>
</file>