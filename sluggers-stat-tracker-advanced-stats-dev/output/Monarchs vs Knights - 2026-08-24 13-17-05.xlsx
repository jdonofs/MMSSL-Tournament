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5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S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n"/>
    </row>
    <row r="10" ht="18" customHeight="1">
      <c r="L10" s="31" t="inlineStr">
        <is>
          <t>Match Quit Early</t>
        </is>
      </c>
    </row>
    <row r="11" ht="59.25" customHeight="1">
      <c r="J11" s="14" t="n"/>
      <c r="L11" s="15" t="inlineStr">
        <is>
          <t>Peach Monarchs</t>
        </is>
      </c>
      <c r="N11" s="16" t="inlineStr">
        <is>
          <t>VS</t>
        </is>
      </c>
      <c r="P11" s="13" t="inlineStr">
        <is>
          <t>Luigi Knights</t>
        </is>
      </c>
    </row>
    <row r="12" ht="40.5" customHeight="1">
      <c r="I12" s="33" t="n">
        <v>3</v>
      </c>
      <c r="P12" s="33" t="n">
        <v>4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Luigi's Mansion - Nighttime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- 9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Green Dry Bones</t>
        </is>
      </c>
      <c r="K20" s="19" t="inlineStr">
        <is>
          <t>1B</t>
        </is>
      </c>
      <c r="Q20" s="19" t="inlineStr">
        <is>
          <t>3B</t>
        </is>
      </c>
      <c r="R20" s="20" t="inlineStr">
        <is>
          <t>Funky Kong</t>
        </is>
      </c>
    </row>
    <row r="21" ht="15" customHeight="1">
      <c r="J21" s="17" t="inlineStr">
        <is>
          <t>Wiggler</t>
        </is>
      </c>
      <c r="K21" s="19" t="inlineStr">
        <is>
          <t>LF</t>
        </is>
      </c>
      <c r="Q21" s="19" t="inlineStr">
        <is>
          <t>CF</t>
        </is>
      </c>
      <c r="R21" s="20" t="inlineStr">
        <is>
          <t>Red Toad</t>
        </is>
      </c>
    </row>
    <row r="22" ht="15" customHeight="1">
      <c r="J22" s="17" t="inlineStr">
        <is>
          <t>Dry Bones</t>
        </is>
      </c>
      <c r="K22" s="19" t="inlineStr">
        <is>
          <t>3B</t>
        </is>
      </c>
      <c r="Q22" s="19" t="inlineStr">
        <is>
          <t>1B</t>
        </is>
      </c>
      <c r="R22" s="20" t="inlineStr">
        <is>
          <t>King K. Rool</t>
        </is>
      </c>
    </row>
    <row r="23" ht="15" customHeight="1">
      <c r="J23" s="17" t="inlineStr">
        <is>
          <t>Kritter</t>
        </is>
      </c>
      <c r="K23" s="19" t="inlineStr">
        <is>
          <t>SS</t>
        </is>
      </c>
      <c r="Q23" s="19" t="inlineStr">
        <is>
          <t>C</t>
        </is>
      </c>
      <c r="R23" s="20" t="inlineStr">
        <is>
          <t>Yellow Pianta</t>
        </is>
      </c>
    </row>
    <row r="24" ht="15" customHeight="1">
      <c r="J24" s="17" t="inlineStr">
        <is>
          <t>Yellow Toad</t>
        </is>
      </c>
      <c r="K24" s="19" t="inlineStr">
        <is>
          <t>CF</t>
        </is>
      </c>
      <c r="Q24" s="19" t="inlineStr">
        <is>
          <t>RF</t>
        </is>
      </c>
      <c r="R24" s="20" t="inlineStr">
        <is>
          <t>Red Yoshi</t>
        </is>
      </c>
    </row>
    <row r="25" ht="15" customHeight="1">
      <c r="J25" s="17" t="inlineStr">
        <is>
          <t>Peach</t>
        </is>
      </c>
      <c r="K25" s="19" t="inlineStr">
        <is>
          <t>RF</t>
        </is>
      </c>
      <c r="Q25" s="19" t="inlineStr">
        <is>
          <t>P</t>
        </is>
      </c>
      <c r="R25" s="20" t="inlineStr">
        <is>
          <t>Luigi</t>
        </is>
      </c>
    </row>
    <row r="26" ht="15" customHeight="1">
      <c r="J26" s="17" t="inlineStr">
        <is>
          <t>Monty Mole</t>
        </is>
      </c>
      <c r="K26" s="19" t="inlineStr">
        <is>
          <t>2B</t>
        </is>
      </c>
      <c r="Q26" s="19" t="inlineStr">
        <is>
          <t>2B</t>
        </is>
      </c>
      <c r="R26" s="20" t="inlineStr">
        <is>
          <t>Green Shy Guy</t>
        </is>
      </c>
    </row>
    <row r="27" ht="15" customHeight="1">
      <c r="J27" s="17" t="inlineStr">
        <is>
          <t>Blue Shy Guy</t>
        </is>
      </c>
      <c r="K27" s="19" t="inlineStr">
        <is>
          <t>P</t>
        </is>
      </c>
      <c r="Q27" s="19" t="inlineStr">
        <is>
          <t>LF</t>
        </is>
      </c>
      <c r="R27" s="20" t="inlineStr">
        <is>
          <t>Orange Mii (M)</t>
        </is>
      </c>
    </row>
    <row r="28" ht="15" customHeight="1">
      <c r="J28" s="17" t="inlineStr">
        <is>
          <t>Paratroopa</t>
        </is>
      </c>
      <c r="K28" s="19" t="inlineStr">
        <is>
          <t>C</t>
        </is>
      </c>
      <c r="Q28" s="19" t="inlineStr">
        <is>
          <t>SS</t>
        </is>
      </c>
      <c r="R28" s="20" t="inlineStr">
        <is>
          <t>Light Blue Yoshi</t>
        </is>
      </c>
    </row>
    <row r="29" ht="18" customHeight="1">
      <c r="M29" s="31" t="inlineStr">
        <is>
          <t>Scorecard</t>
        </is>
      </c>
    </row>
    <row r="30">
      <c r="K30" t="n">
        <v>1</v>
      </c>
      <c r="L30" t="n">
        <v>2</v>
      </c>
      <c r="M30" t="n">
        <v>3</v>
      </c>
      <c r="N30" s="38" t="inlineStr">
        <is>
          <t>Final</t>
        </is>
      </c>
    </row>
    <row r="31" ht="15" customHeight="1">
      <c r="J31" s="17" t="inlineStr">
        <is>
          <t>Peach Monarchs</t>
        </is>
      </c>
      <c r="K31" t="n">
        <v>3</v>
      </c>
      <c r="L31" t="n">
        <v>0</v>
      </c>
      <c r="M31" t="n">
        <v>0</v>
      </c>
      <c r="N31" s="39" t="n">
        <v>3</v>
      </c>
    </row>
    <row r="32" ht="15" customHeight="1">
      <c r="J32" s="17" t="inlineStr">
        <is>
          <t>Luigi Knights</t>
        </is>
      </c>
      <c r="K32" t="n">
        <v>3</v>
      </c>
      <c r="L32" t="n">
        <v>1</v>
      </c>
      <c r="M32" t="n">
        <v>0</v>
      </c>
      <c r="N32" s="39" t="n">
        <v>4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Monarchs</t>
        </is>
      </c>
      <c r="B2" s="26" t="inlineStr">
        <is>
          <t>Green Dry Bones</t>
        </is>
      </c>
      <c r="C2" s="30" t="inlineStr">
        <is>
          <t>1B</t>
        </is>
      </c>
      <c r="D2" t="n">
        <v>2</v>
      </c>
      <c r="E2" t="n">
        <v>2</v>
      </c>
      <c r="F2" s="1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/>
      <c r="AD2" t="n">
        <v>0</v>
      </c>
      <c r="AE2" t="n">
        <v>0</v>
      </c>
      <c r="AF2" t="n">
        <v>0</v>
      </c>
      <c r="AG2" t="n">
        <v>3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0</v>
      </c>
    </row>
    <row r="3" ht="12.75" customHeight="1">
      <c r="A3" s="41" t="n"/>
      <c r="B3" s="26" t="inlineStr">
        <is>
          <t>Wiggler</t>
        </is>
      </c>
      <c r="C3" s="30" t="inlineStr">
        <is>
          <t>LF</t>
        </is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8" t="n"/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s="5" t="n">
        <v>0</v>
      </c>
      <c r="AN3" t="n">
        <v>0</v>
      </c>
    </row>
    <row r="4" ht="15.75" customHeight="1">
      <c r="A4" s="41" t="n"/>
      <c r="B4" s="26" t="inlineStr">
        <is>
          <t>Dry Bones</t>
        </is>
      </c>
      <c r="C4" s="30" t="inlineStr">
        <is>
          <t>3B</t>
        </is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s="1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s="8" t="n">
        <v>1</v>
      </c>
      <c r="Z4" s="8" t="n">
        <v>1</v>
      </c>
      <c r="AA4" s="8" t="n">
        <v>1</v>
      </c>
      <c r="AB4" s="8" t="n">
        <v>2</v>
      </c>
      <c r="AC4" s="8" t="n"/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s="5" t="n">
        <v>0</v>
      </c>
      <c r="AN4" t="n">
        <v>0</v>
      </c>
    </row>
    <row r="5" ht="12.75" customHeight="1">
      <c r="A5" s="41" t="n"/>
      <c r="B5" s="26" t="inlineStr">
        <is>
          <t>Kritter</t>
        </is>
      </c>
      <c r="C5" s="30" t="inlineStr">
        <is>
          <t>SS</t>
        </is>
      </c>
      <c r="D5" t="n">
        <v>1</v>
      </c>
      <c r="E5" t="n">
        <v>1</v>
      </c>
      <c r="F5" t="n">
        <v>1</v>
      </c>
      <c r="G5" t="n">
        <v>1</v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4</v>
      </c>
      <c r="V5" t="n">
        <v>0</v>
      </c>
      <c r="W5" t="n">
        <v>0</v>
      </c>
      <c r="X5" t="n">
        <v>0</v>
      </c>
      <c r="Y5" s="8" t="n">
        <v>1</v>
      </c>
      <c r="Z5" s="8" t="n">
        <v>1</v>
      </c>
      <c r="AA5" s="8" t="n">
        <v>4</v>
      </c>
      <c r="AB5" s="8" t="n">
        <v>5</v>
      </c>
      <c r="AC5" s="8" t="n"/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s="5" t="n">
        <v>0</v>
      </c>
      <c r="AN5" t="n">
        <v>0</v>
      </c>
    </row>
    <row r="6" ht="12.75" customHeight="1">
      <c r="A6" s="41" t="n"/>
      <c r="B6" s="26" t="inlineStr">
        <is>
          <t>Yellow Toad</t>
        </is>
      </c>
      <c r="C6" s="30" t="inlineStr">
        <is>
          <t>CF</t>
        </is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4</v>
      </c>
      <c r="V6" t="n">
        <v>0</v>
      </c>
      <c r="W6" t="n">
        <v>0</v>
      </c>
      <c r="X6" t="n">
        <v>0</v>
      </c>
      <c r="Y6" s="8" t="n">
        <v>1</v>
      </c>
      <c r="Z6" s="8" t="n">
        <v>1</v>
      </c>
      <c r="AA6" s="8" t="n">
        <v>4</v>
      </c>
      <c r="AB6" s="8" t="n">
        <v>5</v>
      </c>
      <c r="AC6" s="8" t="n"/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s="5" t="n">
        <v>0</v>
      </c>
      <c r="AN6" t="n">
        <v>0</v>
      </c>
    </row>
    <row r="7" ht="12.75" customHeight="1">
      <c r="A7" s="41" t="n"/>
      <c r="B7" s="26" t="inlineStr">
        <is>
          <t>Peach</t>
        </is>
      </c>
      <c r="C7" s="30" t="inlineStr">
        <is>
          <t>RF</t>
        </is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/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s="5" t="n">
        <v>0</v>
      </c>
      <c r="AN7" t="n">
        <v>0</v>
      </c>
    </row>
    <row r="8" ht="12.75" customHeight="1">
      <c r="A8" s="41" t="n"/>
      <c r="B8" s="26" t="inlineStr">
        <is>
          <t>Monty Mole</t>
        </is>
      </c>
      <c r="C8" s="30" t="inlineStr">
        <is>
          <t>2B</t>
        </is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0</v>
      </c>
      <c r="W8" t="n">
        <v>0</v>
      </c>
      <c r="X8" t="n">
        <v>0</v>
      </c>
      <c r="Y8" s="8" t="n">
        <v>1</v>
      </c>
      <c r="Z8" s="8" t="n">
        <v>1</v>
      </c>
      <c r="AA8" s="8" t="n">
        <v>2</v>
      </c>
      <c r="AB8" s="8" t="n">
        <v>3</v>
      </c>
      <c r="AC8" s="8" t="n"/>
      <c r="AD8" t="n">
        <v>0</v>
      </c>
      <c r="AE8" t="n">
        <v>0</v>
      </c>
      <c r="AF8" t="n">
        <v>0</v>
      </c>
      <c r="AG8" t="n">
        <v>1</v>
      </c>
      <c r="AH8" t="n">
        <v>2</v>
      </c>
      <c r="AI8" t="n">
        <v>0</v>
      </c>
      <c r="AJ8" t="n">
        <v>0</v>
      </c>
      <c r="AK8" t="n">
        <v>0</v>
      </c>
      <c r="AL8" t="n">
        <v>0</v>
      </c>
      <c r="AM8" s="5" t="n">
        <v>0</v>
      </c>
      <c r="AN8" t="n">
        <v>0</v>
      </c>
    </row>
    <row r="9" ht="12.75" customHeight="1">
      <c r="A9" s="41" t="n"/>
      <c r="B9" s="26" t="inlineStr">
        <is>
          <t>Blue Shy Guy</t>
        </is>
      </c>
      <c r="C9" s="30" t="inlineStr">
        <is>
          <t>P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/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0</v>
      </c>
    </row>
    <row r="10" ht="12.75" customHeight="1">
      <c r="A10" s="41" t="n"/>
      <c r="B10" s="26" t="inlineStr">
        <is>
          <t>Paratroopa</t>
        </is>
      </c>
      <c r="C10" s="30" t="inlineStr">
        <is>
          <t>C</t>
        </is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s="5" t="n">
        <v>0</v>
      </c>
      <c r="AN10" t="n">
        <v>0</v>
      </c>
    </row>
    <row r="11" ht="12.75" customHeight="1">
      <c r="A11" s="42" t="n"/>
      <c r="B11" s="27" t="inlineStr">
        <is>
          <t>Monarchs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Knights</t>
        </is>
      </c>
      <c r="B12" s="26" t="inlineStr">
        <is>
          <t>Funky Kong</t>
        </is>
      </c>
      <c r="C12" s="30" t="inlineStr">
        <is>
          <t>3B</t>
        </is>
      </c>
      <c r="D12" t="n">
        <v>2</v>
      </c>
      <c r="E12" t="n">
        <v>2</v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s="8" t="n">
        <v>0.5</v>
      </c>
      <c r="Z12" s="8" t="n">
        <v>0.5</v>
      </c>
      <c r="AA12" s="8" t="n">
        <v>0.5</v>
      </c>
      <c r="AB12" s="8" t="n">
        <v>1</v>
      </c>
      <c r="AC12" s="8" t="n"/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s="5" t="n">
        <v>0</v>
      </c>
      <c r="AN12" t="n">
        <v>0</v>
      </c>
    </row>
    <row r="13" ht="12.75" customHeight="1">
      <c r="A13" s="41" t="n"/>
      <c r="B13" s="26" t="inlineStr">
        <is>
          <t>Red Toad</t>
        </is>
      </c>
      <c r="C13" s="30" t="inlineStr">
        <is>
          <t>CF</t>
        </is>
      </c>
      <c r="D13" t="n">
        <v>2</v>
      </c>
      <c r="E13" t="n">
        <v>2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0</v>
      </c>
      <c r="W13" t="n">
        <v>0</v>
      </c>
      <c r="X13" t="n">
        <v>0</v>
      </c>
      <c r="Y13" s="8" t="n">
        <v>0.5</v>
      </c>
      <c r="Z13" s="8" t="n">
        <v>0.5</v>
      </c>
      <c r="AA13" s="8" t="n">
        <v>1</v>
      </c>
      <c r="AB13" s="8" t="n">
        <v>1.5</v>
      </c>
      <c r="AC13" s="8" t="n"/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0</v>
      </c>
    </row>
    <row r="14" ht="12.75" customHeight="1">
      <c r="A14" s="41" t="n"/>
      <c r="B14" s="26" t="inlineStr">
        <is>
          <t>King K. Rool</t>
        </is>
      </c>
      <c r="C14" s="30" t="inlineStr">
        <is>
          <t>1B</t>
        </is>
      </c>
      <c r="D14" t="n">
        <v>1</v>
      </c>
      <c r="E14" t="n">
        <v>1</v>
      </c>
      <c r="F14" t="n">
        <v>1</v>
      </c>
      <c r="G14" t="n">
        <v>1</v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4</v>
      </c>
      <c r="V14" t="n">
        <v>0</v>
      </c>
      <c r="W14" t="n">
        <v>0</v>
      </c>
      <c r="X14" t="n">
        <v>0</v>
      </c>
      <c r="Y14" s="8" t="n">
        <v>1</v>
      </c>
      <c r="Z14" s="8" t="n">
        <v>1</v>
      </c>
      <c r="AA14" s="8" t="n">
        <v>4</v>
      </c>
      <c r="AB14" s="8" t="n">
        <v>5</v>
      </c>
      <c r="AC14" s="8" t="n"/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s="5" t="n">
        <v>0</v>
      </c>
      <c r="AN14" t="n">
        <v>0</v>
      </c>
    </row>
    <row r="15" ht="12.75" customHeight="1">
      <c r="A15" s="41" t="n"/>
      <c r="B15" s="26" t="inlineStr">
        <is>
          <t>Yellow Pianta</t>
        </is>
      </c>
      <c r="C15" s="30" t="inlineStr">
        <is>
          <t>C</t>
        </is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</v>
      </c>
      <c r="V15" t="n">
        <v>0</v>
      </c>
      <c r="W15" t="n">
        <v>0</v>
      </c>
      <c r="X15" t="n">
        <v>0</v>
      </c>
      <c r="Y15" s="8" t="n">
        <v>1</v>
      </c>
      <c r="Z15" s="8" t="n">
        <v>1</v>
      </c>
      <c r="AA15" s="8" t="n">
        <v>3</v>
      </c>
      <c r="AB15" s="8" t="n">
        <v>4</v>
      </c>
      <c r="AC15" s="8" t="n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s="5" t="n">
        <v>0</v>
      </c>
      <c r="AN15" t="n">
        <v>0</v>
      </c>
    </row>
    <row r="16" ht="12.75" customHeight="1">
      <c r="A16" s="41" t="n"/>
      <c r="B16" s="26" t="inlineStr">
        <is>
          <t>Red Yoshi</t>
        </is>
      </c>
      <c r="C16" s="30" t="inlineStr">
        <is>
          <t>RF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/>
      <c r="AD16" t="n">
        <v>0</v>
      </c>
      <c r="AE16" t="n">
        <v>0</v>
      </c>
      <c r="AF16" t="n">
        <v>0</v>
      </c>
      <c r="AG16" t="n">
        <v>3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s="5" t="n">
        <v>1</v>
      </c>
      <c r="AN16" t="n">
        <v>0</v>
      </c>
    </row>
    <row r="17" ht="12.75" customHeight="1">
      <c r="A17" s="41" t="n"/>
      <c r="B17" s="26" t="inlineStr">
        <is>
          <t>Luigi</t>
        </is>
      </c>
      <c r="C17" s="30" t="inlineStr">
        <is>
          <t>P</t>
        </is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/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s="5" t="n">
        <v>0</v>
      </c>
      <c r="AN17" t="n">
        <v>0</v>
      </c>
    </row>
    <row r="18" ht="12.75" customHeight="1">
      <c r="A18" s="41" t="n"/>
      <c r="B18" s="26" t="inlineStr">
        <is>
          <t>Green Shy Guy</t>
        </is>
      </c>
      <c r="C18" s="30" t="inlineStr">
        <is>
          <t>2B</t>
        </is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0</v>
      </c>
      <c r="W18" t="n">
        <v>0</v>
      </c>
      <c r="X18" t="n">
        <v>0</v>
      </c>
      <c r="Y18" s="8" t="n">
        <v>1</v>
      </c>
      <c r="Z18" s="8" t="n">
        <v>1</v>
      </c>
      <c r="AA18" s="8" t="n">
        <v>3</v>
      </c>
      <c r="AB18" s="8" t="n">
        <v>4</v>
      </c>
      <c r="AC18" s="8" t="n"/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0</v>
      </c>
      <c r="AN18" t="n">
        <v>0</v>
      </c>
    </row>
    <row r="19" ht="12.75" customHeight="1">
      <c r="A19" s="41" t="n"/>
      <c r="B19" s="26" t="inlineStr">
        <is>
          <t>Orange Mii (M)</t>
        </is>
      </c>
      <c r="C19" s="30" t="inlineStr">
        <is>
          <t>LF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/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5" t="n">
        <v>0</v>
      </c>
      <c r="AN19" t="n">
        <v>0</v>
      </c>
    </row>
    <row r="20" ht="12.75" customHeight="1">
      <c r="A20" s="41" t="n"/>
      <c r="B20" s="26" t="inlineStr">
        <is>
          <t>Light Blue Yoshi</t>
        </is>
      </c>
      <c r="C20" s="30" t="inlineStr">
        <is>
          <t>SS</t>
        </is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s="5" t="n">
        <v>0</v>
      </c>
      <c r="AN20" t="n">
        <v>0</v>
      </c>
    </row>
    <row r="21" ht="12.75" customHeight="1">
      <c r="A21" s="45" t="n"/>
      <c r="B21" s="28" t="inlineStr">
        <is>
          <t>Knights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Blue Shy Guy</t>
        </is>
      </c>
      <c r="B2" t="inlineStr">
        <is>
          <t>Monarchs</t>
        </is>
      </c>
      <c r="C2" s="22" t="n">
        <v>11</v>
      </c>
      <c r="D2" s="11" t="n">
        <v>2</v>
      </c>
      <c r="E2" t="n">
        <v>15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5</v>
      </c>
      <c r="L2" t="n">
        <v>4</v>
      </c>
      <c r="M2" t="n">
        <v>1</v>
      </c>
      <c r="N2" t="n">
        <v>1</v>
      </c>
      <c r="O2" t="n">
        <v>2</v>
      </c>
      <c r="P2" t="n">
        <v>1</v>
      </c>
      <c r="Q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14</v>
      </c>
      <c r="X2" s="8" t="n">
        <v>18</v>
      </c>
      <c r="Y2" s="8" t="n">
        <v>2.5</v>
      </c>
      <c r="Z2" s="8" t="n">
        <v>0.5</v>
      </c>
      <c r="AA2" s="8" t="n">
        <v>0.4545454545454545</v>
      </c>
      <c r="AB2" s="8" t="n">
        <v>1.3</v>
      </c>
      <c r="AC2" s="8" t="n">
        <v>1.754545454545455</v>
      </c>
      <c r="AD2" t="n">
        <v>10</v>
      </c>
      <c r="AE2" t="n">
        <v>13</v>
      </c>
    </row>
    <row r="3" ht="12.75" customHeight="1">
      <c r="A3" s="7" t="inlineStr">
        <is>
          <t>Luigi</t>
        </is>
      </c>
      <c r="B3" t="inlineStr">
        <is>
          <t>Knights</t>
        </is>
      </c>
      <c r="C3" s="22" t="n">
        <v>10</v>
      </c>
      <c r="D3" s="11" t="n">
        <v>2</v>
      </c>
      <c r="E3" t="n">
        <v>13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4</v>
      </c>
      <c r="L3" t="n">
        <v>3</v>
      </c>
      <c r="M3" t="n">
        <v>1</v>
      </c>
      <c r="N3" t="n">
        <v>1</v>
      </c>
      <c r="O3" t="n">
        <v>0</v>
      </c>
      <c r="P3" t="n">
        <v>2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s="8" t="n">
        <v>10.5</v>
      </c>
      <c r="X3" s="8" t="n">
        <v>13.5</v>
      </c>
      <c r="Y3" s="8" t="n">
        <v>2</v>
      </c>
      <c r="Z3" s="8" t="n">
        <v>0.4</v>
      </c>
      <c r="AA3" s="8" t="n">
        <v>0.4</v>
      </c>
      <c r="AB3" s="8" t="n">
        <v>1.1</v>
      </c>
      <c r="AC3" s="8" t="n">
        <v>1.5</v>
      </c>
      <c r="AD3" t="n">
        <v>10</v>
      </c>
      <c r="AE3" t="n">
        <v>11</v>
      </c>
    </row>
    <row r="4" ht="12.75" customHeight="1">
      <c r="A4" s="47" t="inlineStr">
        <is>
          <t>Monarchs Totals</t>
        </is>
      </c>
      <c r="B4" s="43" t="inlineStr">
        <is>
          <t>Monarchs</t>
        </is>
      </c>
      <c r="C4" s="48">
        <f>SUM(C2:C2)</f>
        <v/>
      </c>
      <c r="D4" s="49">
        <f>SUM(D2:D2)</f>
        <v/>
      </c>
      <c r="E4" s="43">
        <f>SUM(E2:E2)</f>
        <v/>
      </c>
      <c r="F4" s="43">
        <f>SUM(F2:F2)</f>
        <v/>
      </c>
      <c r="G4" s="43">
        <f>SUM(G2:G2)</f>
        <v/>
      </c>
      <c r="H4" s="43">
        <f>SUM(H2:H2)</f>
        <v/>
      </c>
      <c r="I4" s="43">
        <f>SUM(I2:I2)</f>
        <v/>
      </c>
      <c r="J4" s="43">
        <f>SUM(J2:J2)</f>
        <v/>
      </c>
      <c r="K4" s="43">
        <f>SUM(K2:K2)</f>
        <v/>
      </c>
      <c r="L4" s="43">
        <f>SUM(L2:L2)</f>
        <v/>
      </c>
      <c r="M4" s="43">
        <f>SUM(M2:M2)</f>
        <v/>
      </c>
      <c r="N4" s="43">
        <f>SUM(N2:N2)</f>
        <v/>
      </c>
      <c r="O4" s="43">
        <f>SUM(O2:O2)</f>
        <v/>
      </c>
      <c r="P4" s="43">
        <f>SUM(P2:P2)</f>
        <v/>
      </c>
      <c r="Q4" s="43">
        <f>SUM(Q2:Q2)</f>
        <v/>
      </c>
      <c r="R4" s="43">
        <f>SUM(R2:R2)</f>
        <v/>
      </c>
      <c r="S4" s="43">
        <f>SUM(S2:S2)</f>
        <v/>
      </c>
      <c r="T4" s="43">
        <f>SUM(T2:T2)</f>
        <v/>
      </c>
      <c r="U4" s="43">
        <f>SUM(U2:U2)</f>
        <v/>
      </c>
      <c r="V4" s="43">
        <f>SUM(V2:V2)</f>
        <v/>
      </c>
      <c r="W4" s="50">
        <f>IF(D4=0,"INF",Q4*7/D4)</f>
        <v/>
      </c>
      <c r="X4" s="50">
        <f>IF(D4=0,"INF",Q4*9/D4)</f>
        <v/>
      </c>
      <c r="Y4" s="50">
        <f>IF(D4=0,"INF",(I4+K4)/D4)</f>
        <v/>
      </c>
      <c r="Z4" s="50">
        <f>IF(SUM(AD2:AD2)=0,0,SUM(K2:K2)/SUM(AD2:AD2))</f>
        <v/>
      </c>
      <c r="AA4" s="50">
        <f>IF(SUM(C2:C2)=0,0,(SUM(K2:K2)+SUM(I2:I2)+SUM(J2:J2))/SUM(C2:C2))</f>
        <v/>
      </c>
      <c r="AB4" s="50">
        <f>IF(SUM(AD2:AD2)=0,0,SUM(AE2:AE2)/SUM(AD2:AD2))</f>
        <v/>
      </c>
      <c r="AC4" s="50">
        <f>AA4+AB4</f>
        <v/>
      </c>
      <c r="AD4" s="43" t="n"/>
      <c r="AE4" s="43" t="n"/>
    </row>
    <row r="5" ht="12.75" customHeight="1">
      <c r="A5" s="51" t="inlineStr">
        <is>
          <t>Knights Totals</t>
        </is>
      </c>
      <c r="B5" s="46" t="inlineStr">
        <is>
          <t>Knights</t>
        </is>
      </c>
      <c r="C5" s="52">
        <f>SUM(C3:C3)</f>
        <v/>
      </c>
      <c r="D5" s="53">
        <f>SUM(D3:D3)</f>
        <v/>
      </c>
      <c r="E5" s="46">
        <f>SUM(E3:E3)</f>
        <v/>
      </c>
      <c r="F5" s="46">
        <f>SUM(F3:F3)</f>
        <v/>
      </c>
      <c r="G5" s="46">
        <f>SUM(G3:G3)</f>
        <v/>
      </c>
      <c r="H5" s="46">
        <f>SUM(H3:H3)</f>
        <v/>
      </c>
      <c r="I5" s="46">
        <f>SUM(I3:I3)</f>
        <v/>
      </c>
      <c r="J5" s="46">
        <f>SUM(J3:J3)</f>
        <v/>
      </c>
      <c r="K5" s="46">
        <f>SUM(K3:K3)</f>
        <v/>
      </c>
      <c r="L5" s="46">
        <f>SUM(L3:L3)</f>
        <v/>
      </c>
      <c r="M5" s="46">
        <f>SUM(M3:M3)</f>
        <v/>
      </c>
      <c r="N5" s="46">
        <f>SUM(N3:N3)</f>
        <v/>
      </c>
      <c r="O5" s="46">
        <f>SUM(O3:O3)</f>
        <v/>
      </c>
      <c r="P5" s="46">
        <f>SUM(P3:P3)</f>
        <v/>
      </c>
      <c r="Q5" s="46">
        <f>SUM(Q3:Q3)</f>
        <v/>
      </c>
      <c r="R5" s="46">
        <f>SUM(R3:R3)</f>
        <v/>
      </c>
      <c r="S5" s="46">
        <f>SUM(S3:S3)</f>
        <v/>
      </c>
      <c r="T5" s="46">
        <f>SUM(T3:T3)</f>
        <v/>
      </c>
      <c r="U5" s="46">
        <f>SUM(U3:U3)</f>
        <v/>
      </c>
      <c r="V5" s="46">
        <f>SUM(V3:V3)</f>
        <v/>
      </c>
      <c r="W5" s="54">
        <f>IF(D5=0,"INF",Q5*7/D5)</f>
        <v/>
      </c>
      <c r="X5" s="55">
        <f>IF(D5=0,"INF",Q5*9/D5)</f>
        <v/>
      </c>
      <c r="Y5" s="55">
        <f>IF(D5=0,"INF",(I5+K5)/D5)</f>
        <v/>
      </c>
      <c r="Z5" s="55">
        <f>IF(SUM(AD3:AD3)=0,0,SUM(K3:K3)/SUM(AD3:AD3))</f>
        <v/>
      </c>
      <c r="AA5" s="55">
        <f>IF(SUM(C3:C3)=0,0,(SUM(K3:K3)+SUM(I3:I3)+SUM(J3:J3))/SUM(C3:C3))</f>
        <v/>
      </c>
      <c r="AB5" s="55">
        <f>IF(SUM(AD3:AD3)=0,0,SUM(AE3:AE3)/SUM(AD3:AD3))</f>
        <v/>
      </c>
      <c r="AC5" s="55">
        <f>AA5+AB5</f>
        <v/>
      </c>
      <c r="AD5" s="46" t="n"/>
      <c r="AE5" s="46" t="n"/>
    </row>
    <row r="6" ht="12.75" customHeight="1">
      <c r="A6" s="7" t="n"/>
      <c r="C6" s="22" t="n"/>
      <c r="D6" s="11" t="n"/>
      <c r="W6" s="8" t="n"/>
      <c r="X6" s="8" t="n"/>
      <c r="Y6" s="8" t="n"/>
      <c r="Z6" s="8" t="n"/>
      <c r="AA6" s="8" t="n"/>
      <c r="AB6" s="8" t="n"/>
      <c r="AC6" s="8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2026-08-24T17:17:05Z</dcterms:modified>
</cp:coreProperties>
</file>