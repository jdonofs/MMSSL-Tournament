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U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26</v>
      </c>
      <c r="P12" s="33" t="n">
        <v>25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Blue Yoshi</t>
        </is>
      </c>
      <c r="K20" s="19" t="inlineStr">
        <is>
          <t>LF</t>
        </is>
      </c>
      <c r="Q20" s="19" t="inlineStr">
        <is>
          <t>P</t>
        </is>
      </c>
      <c r="R20" s="20" t="inlineStr">
        <is>
          <t>Shy Guy</t>
        </is>
      </c>
    </row>
    <row r="21" ht="15" customHeight="1">
      <c r="J21" s="17" t="inlineStr">
        <is>
          <t>Red Yoshi</t>
        </is>
      </c>
      <c r="K21" s="19" t="inlineStr">
        <is>
          <t>C</t>
        </is>
      </c>
      <c r="Q21" s="19" t="inlineStr">
        <is>
          <t>1B</t>
        </is>
      </c>
      <c r="R21" s="20" t="inlineStr">
        <is>
          <t>Tiny Kong</t>
        </is>
      </c>
    </row>
    <row r="22" ht="15" customHeight="1">
      <c r="J22" s="17" t="inlineStr">
        <is>
          <t>Kritter</t>
        </is>
      </c>
      <c r="K22" s="19" t="inlineStr">
        <is>
          <t>SS</t>
        </is>
      </c>
      <c r="Q22" s="19" t="inlineStr">
        <is>
          <t>RF</t>
        </is>
      </c>
      <c r="R22" s="20" t="inlineStr">
        <is>
          <t>King Boo</t>
        </is>
      </c>
    </row>
    <row r="23" ht="15" customHeight="1">
      <c r="J23" s="17" t="inlineStr">
        <is>
          <t>Red Kritter</t>
        </is>
      </c>
      <c r="K23" s="19" t="inlineStr">
        <is>
          <t>1B</t>
        </is>
      </c>
      <c r="Q23" s="19" t="inlineStr">
        <is>
          <t>SS</t>
        </is>
      </c>
      <c r="R23" s="20" t="inlineStr">
        <is>
          <t>Red Magikoopa</t>
        </is>
      </c>
    </row>
    <row r="24" ht="15" customHeight="1">
      <c r="J24" s="17" t="inlineStr">
        <is>
          <t>Monty Mole</t>
        </is>
      </c>
      <c r="K24" s="19" t="inlineStr">
        <is>
          <t>2B</t>
        </is>
      </c>
      <c r="Q24" s="19" t="inlineStr">
        <is>
          <t>C</t>
        </is>
      </c>
      <c r="R24" s="20" t="inlineStr">
        <is>
          <t>Toadette</t>
        </is>
      </c>
    </row>
    <row r="25" ht="15" customHeight="1">
      <c r="J25" s="17" t="inlineStr">
        <is>
          <t>Luigi</t>
        </is>
      </c>
      <c r="K25" s="19" t="inlineStr">
        <is>
          <t>CF</t>
        </is>
      </c>
      <c r="Q25" s="19" t="inlineStr">
        <is>
          <t>2B</t>
        </is>
      </c>
      <c r="R25" s="20" t="inlineStr">
        <is>
          <t>Magikoopa</t>
        </is>
      </c>
    </row>
    <row r="26" ht="15" customHeight="1">
      <c r="J26" s="17" t="inlineStr">
        <is>
          <t>Paratroopa</t>
        </is>
      </c>
      <c r="K26" s="19" t="inlineStr">
        <is>
          <t>P</t>
        </is>
      </c>
      <c r="Q26" s="19" t="inlineStr">
        <is>
          <t>LF</t>
        </is>
      </c>
      <c r="R26" s="20" t="inlineStr">
        <is>
          <t>Red Koopa Troopa</t>
        </is>
      </c>
    </row>
    <row r="27" ht="15" customHeight="1">
      <c r="J27" s="17" t="inlineStr">
        <is>
          <t>Red Noki</t>
        </is>
      </c>
      <c r="K27" s="19" t="inlineStr">
        <is>
          <t>3B</t>
        </is>
      </c>
      <c r="Q27" s="19" t="inlineStr">
        <is>
          <t>CF</t>
        </is>
      </c>
      <c r="R27" s="20" t="inlineStr">
        <is>
          <t>Purple Toad</t>
        </is>
      </c>
    </row>
    <row r="28" ht="15" customHeight="1">
      <c r="J28" s="17" t="inlineStr">
        <is>
          <t>Paragoomba</t>
        </is>
      </c>
      <c r="K28" s="19" t="inlineStr">
        <is>
          <t>RF</t>
        </is>
      </c>
      <c r="Q28" s="19" t="inlineStr">
        <is>
          <t>3B</t>
        </is>
      </c>
      <c r="R28" s="20" t="inlineStr">
        <is>
          <t>Red Toad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n">
        <v>10</v>
      </c>
      <c r="U30" s="39" t="inlineStr">
        <is>
          <t>Final</t>
        </is>
      </c>
    </row>
    <row r="31" ht="15" customHeight="1">
      <c r="J31" s="17" t="inlineStr">
        <is>
          <t>Luigi Knights</t>
        </is>
      </c>
      <c r="K31" t="n">
        <v>2</v>
      </c>
      <c r="L31" t="n">
        <v>0</v>
      </c>
      <c r="M31" t="n">
        <v>3</v>
      </c>
      <c r="N31" t="n">
        <v>8</v>
      </c>
      <c r="O31" t="n">
        <v>0</v>
      </c>
      <c r="P31" t="n">
        <v>1</v>
      </c>
      <c r="Q31" t="n">
        <v>0</v>
      </c>
      <c r="R31" t="n">
        <v>7</v>
      </c>
      <c r="S31" t="n">
        <v>1</v>
      </c>
      <c r="T31" s="38" t="n">
        <v>4</v>
      </c>
      <c r="U31" s="40" t="n">
        <v>26</v>
      </c>
    </row>
    <row r="32" ht="15" customHeight="1">
      <c r="J32" s="17" t="inlineStr">
        <is>
          <t>Mario Fireballs</t>
        </is>
      </c>
      <c r="K32" t="n">
        <v>0</v>
      </c>
      <c r="L32" t="n">
        <v>1</v>
      </c>
      <c r="M32" t="n">
        <v>2</v>
      </c>
      <c r="N32" t="n">
        <v>4</v>
      </c>
      <c r="O32" t="n">
        <v>3</v>
      </c>
      <c r="P32" t="n">
        <v>2</v>
      </c>
      <c r="Q32" t="n">
        <v>5</v>
      </c>
      <c r="R32" t="n">
        <v>2</v>
      </c>
      <c r="S32" t="n">
        <v>3</v>
      </c>
      <c r="T32" s="38" t="n">
        <v>3</v>
      </c>
      <c r="U32" s="40" t="n">
        <v>25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1" t="inlineStr">
        <is>
          <t>Knights</t>
        </is>
      </c>
      <c r="B2" s="26" t="inlineStr">
        <is>
          <t>Blue Yoshi</t>
        </is>
      </c>
      <c r="C2" s="30" t="inlineStr">
        <is>
          <t>LF</t>
        </is>
      </c>
      <c r="D2" t="n">
        <v>6</v>
      </c>
      <c r="E2" t="n">
        <v>6</v>
      </c>
      <c r="F2" s="1" t="n">
        <v>2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1</v>
      </c>
      <c r="X2" t="n">
        <v>3</v>
      </c>
      <c r="Y2" s="8" t="n">
        <v>0.3333333333333333</v>
      </c>
      <c r="Z2" s="8" t="n">
        <v>0.3333333333333333</v>
      </c>
      <c r="AA2" s="8" t="n">
        <v>0.3333333333333333</v>
      </c>
      <c r="AB2" s="8" t="n">
        <v>0.6666666666666666</v>
      </c>
      <c r="AC2" s="8" t="n">
        <v>0.3333333333333333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1</v>
      </c>
    </row>
    <row r="3" ht="12.75" customHeight="1">
      <c r="A3" s="42" t="n"/>
      <c r="B3" s="26" t="inlineStr">
        <is>
          <t>Red Yoshi</t>
        </is>
      </c>
      <c r="C3" s="30" t="inlineStr">
        <is>
          <t>C</t>
        </is>
      </c>
      <c r="D3" t="n">
        <v>5</v>
      </c>
      <c r="E3" t="n">
        <v>5</v>
      </c>
      <c r="F3" t="n">
        <v>4</v>
      </c>
      <c r="G3" t="n">
        <v>5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2</v>
      </c>
      <c r="X3" t="n">
        <v>3</v>
      </c>
      <c r="Y3" s="8" t="n">
        <v>1</v>
      </c>
      <c r="Z3" s="8" t="n">
        <v>1</v>
      </c>
      <c r="AA3" s="8" t="n">
        <v>1.6</v>
      </c>
      <c r="AB3" s="8" t="n">
        <v>2.6</v>
      </c>
      <c r="AC3" s="8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3</v>
      </c>
    </row>
    <row r="4" ht="15.75" customHeight="1">
      <c r="A4" s="42" t="n"/>
      <c r="B4" s="26" t="inlineStr">
        <is>
          <t>Kritter</t>
        </is>
      </c>
      <c r="C4" s="30" t="inlineStr">
        <is>
          <t>SS</t>
        </is>
      </c>
      <c r="D4" t="n">
        <v>7</v>
      </c>
      <c r="E4" t="n">
        <v>7</v>
      </c>
      <c r="F4" t="n">
        <v>3</v>
      </c>
      <c r="G4" t="n">
        <v>4</v>
      </c>
      <c r="H4" t="n">
        <v>6</v>
      </c>
      <c r="I4" t="n">
        <v>0</v>
      </c>
      <c r="J4" t="n">
        <v>0</v>
      </c>
      <c r="K4" t="n">
        <v>0</v>
      </c>
      <c r="L4" t="n">
        <v>1</v>
      </c>
      <c r="M4" s="1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</v>
      </c>
      <c r="V4" t="n">
        <v>0</v>
      </c>
      <c r="W4" t="n">
        <v>0</v>
      </c>
      <c r="X4" t="n">
        <v>1</v>
      </c>
      <c r="Y4" s="8" t="n">
        <v>0.5714285714285714</v>
      </c>
      <c r="Z4" s="8" t="n">
        <v>0.5714285714285714</v>
      </c>
      <c r="AA4" s="8" t="n">
        <v>1.571428571428571</v>
      </c>
      <c r="AB4" s="8" t="n">
        <v>2.142857142857143</v>
      </c>
      <c r="AC4" s="8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4</v>
      </c>
      <c r="AI4" t="n">
        <v>0</v>
      </c>
      <c r="AJ4" t="n">
        <v>0</v>
      </c>
      <c r="AK4" t="n">
        <v>1</v>
      </c>
      <c r="AL4" t="n">
        <v>0</v>
      </c>
      <c r="AM4" s="5" t="n">
        <v>3</v>
      </c>
      <c r="AN4" t="n">
        <v>0</v>
      </c>
    </row>
    <row r="5" ht="12.75" customHeight="1">
      <c r="A5" s="42" t="n"/>
      <c r="B5" s="26" t="inlineStr">
        <is>
          <t>Red Kritter</t>
        </is>
      </c>
      <c r="C5" s="30" t="inlineStr">
        <is>
          <t>1B</t>
        </is>
      </c>
      <c r="D5" t="n">
        <v>7</v>
      </c>
      <c r="E5" t="n">
        <v>7</v>
      </c>
      <c r="F5" t="n">
        <v>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3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14</v>
      </c>
      <c r="V5" t="n">
        <v>0</v>
      </c>
      <c r="W5" t="n">
        <v>1</v>
      </c>
      <c r="X5" t="n">
        <v>1</v>
      </c>
      <c r="Y5" s="8" t="n">
        <v>0.7142857142857143</v>
      </c>
      <c r="Z5" s="8" t="n">
        <v>0.7142857142857143</v>
      </c>
      <c r="AA5" s="8" t="n">
        <v>2</v>
      </c>
      <c r="AB5" s="8" t="n">
        <v>2.714285714285714</v>
      </c>
      <c r="AC5" s="8" t="n">
        <v>1</v>
      </c>
      <c r="AD5" t="n">
        <v>0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s="5" t="n">
        <v>1</v>
      </c>
      <c r="AN5" t="n">
        <v>1</v>
      </c>
    </row>
    <row r="6" ht="12.75" customHeight="1">
      <c r="A6" s="42" t="n"/>
      <c r="B6" s="26" t="inlineStr">
        <is>
          <t>Monty Mole</t>
        </is>
      </c>
      <c r="C6" s="30" t="inlineStr">
        <is>
          <t>2B</t>
        </is>
      </c>
      <c r="D6" t="n">
        <v>7</v>
      </c>
      <c r="E6" t="n">
        <v>7</v>
      </c>
      <c r="F6" t="n">
        <v>4</v>
      </c>
      <c r="G6" t="n">
        <v>5</v>
      </c>
      <c r="H6" t="n">
        <v>3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11</v>
      </c>
      <c r="V6" t="n">
        <v>0</v>
      </c>
      <c r="W6" t="n">
        <v>2</v>
      </c>
      <c r="X6" t="n">
        <v>2</v>
      </c>
      <c r="Y6" s="8" t="n">
        <v>0.7142857142857143</v>
      </c>
      <c r="Z6" s="8" t="n">
        <v>0.7142857142857143</v>
      </c>
      <c r="AA6" s="8" t="n">
        <v>1.571428571428571</v>
      </c>
      <c r="AB6" s="8" t="n">
        <v>2.285714285714286</v>
      </c>
      <c r="AC6" s="8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s="5" t="n">
        <v>7</v>
      </c>
      <c r="AN6" t="n">
        <v>2</v>
      </c>
    </row>
    <row r="7" ht="12.75" customHeight="1">
      <c r="A7" s="42" t="n"/>
      <c r="B7" s="26" t="inlineStr">
        <is>
          <t>Luigi</t>
        </is>
      </c>
      <c r="C7" s="30" t="inlineStr">
        <is>
          <t>CF</t>
        </is>
      </c>
      <c r="D7" t="n">
        <v>7</v>
      </c>
      <c r="E7" t="n">
        <v>7</v>
      </c>
      <c r="F7" t="n">
        <v>2</v>
      </c>
      <c r="G7" t="n">
        <v>2</v>
      </c>
      <c r="H7" t="n">
        <v>3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1</v>
      </c>
      <c r="Y7" s="8" t="n">
        <v>0.2857142857142857</v>
      </c>
      <c r="Z7" s="8" t="n">
        <v>0.2857142857142857</v>
      </c>
      <c r="AA7" s="8" t="n">
        <v>0.7142857142857143</v>
      </c>
      <c r="AB7" s="8" t="n">
        <v>1</v>
      </c>
      <c r="AC7" s="8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2" t="n"/>
      <c r="B8" s="26" t="inlineStr">
        <is>
          <t>Paratroopa</t>
        </is>
      </c>
      <c r="C8" s="30" t="inlineStr">
        <is>
          <t>P</t>
        </is>
      </c>
      <c r="D8" t="n">
        <v>6</v>
      </c>
      <c r="E8" t="n">
        <v>6</v>
      </c>
      <c r="F8" t="n">
        <v>2</v>
      </c>
      <c r="G8" t="n">
        <v>3</v>
      </c>
      <c r="H8" t="n">
        <v>2</v>
      </c>
      <c r="I8" t="n">
        <v>1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3</v>
      </c>
      <c r="X8" t="n">
        <v>8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>
        <v>0.375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3</v>
      </c>
    </row>
    <row r="9" ht="12.75" customHeight="1">
      <c r="A9" s="42" t="n"/>
      <c r="B9" s="26" t="inlineStr">
        <is>
          <t>Red Noki</t>
        </is>
      </c>
      <c r="C9" s="30" t="inlineStr">
        <is>
          <t>3B</t>
        </is>
      </c>
      <c r="D9" t="n">
        <v>6</v>
      </c>
      <c r="E9" t="n">
        <v>6</v>
      </c>
      <c r="F9" t="n">
        <v>2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1</v>
      </c>
      <c r="X9" t="n">
        <v>2</v>
      </c>
      <c r="Y9" s="8" t="n">
        <v>0.5</v>
      </c>
      <c r="Z9" s="8" t="n">
        <v>0.5</v>
      </c>
      <c r="AA9" s="8" t="n">
        <v>0.5</v>
      </c>
      <c r="AB9" s="8" t="n">
        <v>1</v>
      </c>
      <c r="AC9" s="8" t="n">
        <v>0.5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2</v>
      </c>
      <c r="AN9" t="n">
        <v>1</v>
      </c>
    </row>
    <row r="10" ht="12.75" customHeight="1">
      <c r="A10" s="42" t="n"/>
      <c r="B10" s="26" t="inlineStr">
        <is>
          <t>Paragoomba</t>
        </is>
      </c>
      <c r="C10" s="30" t="inlineStr">
        <is>
          <t>RF</t>
        </is>
      </c>
      <c r="D10" t="n">
        <v>6</v>
      </c>
      <c r="E10" t="n">
        <v>7</v>
      </c>
      <c r="F10" t="n">
        <v>2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2</v>
      </c>
      <c r="X10" t="n">
        <v>2</v>
      </c>
      <c r="Y10" s="8" t="n">
        <v>0.5</v>
      </c>
      <c r="Z10" s="8" t="n">
        <v>0.4285714285714285</v>
      </c>
      <c r="AA10" s="8" t="n">
        <v>0.5</v>
      </c>
      <c r="AB10" s="8" t="n">
        <v>0.9285714285714286</v>
      </c>
      <c r="AC10" s="8" t="n">
        <v>1</v>
      </c>
      <c r="AD10" t="n">
        <v>0</v>
      </c>
      <c r="AE10" t="n">
        <v>0</v>
      </c>
      <c r="AF10" t="n">
        <v>0</v>
      </c>
      <c r="AG10" t="n">
        <v>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1</v>
      </c>
      <c r="AN10" t="n">
        <v>2</v>
      </c>
    </row>
    <row r="11" ht="12.75" customHeight="1">
      <c r="A11" s="43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4" t="n"/>
    </row>
    <row r="12" ht="12.75" customHeight="1">
      <c r="A12" s="45" t="inlineStr">
        <is>
          <t>Fireballs</t>
        </is>
      </c>
      <c r="B12" s="26" t="inlineStr">
        <is>
          <t>Shy Guy</t>
        </is>
      </c>
      <c r="C12" s="30" t="inlineStr">
        <is>
          <t>P</t>
        </is>
      </c>
      <c r="D12" t="n">
        <v>8</v>
      </c>
      <c r="E12" t="n">
        <v>8</v>
      </c>
      <c r="F12" t="n">
        <v>4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6</v>
      </c>
      <c r="X12" t="n">
        <v>6</v>
      </c>
      <c r="Y12" s="8" t="n">
        <v>0.75</v>
      </c>
      <c r="Z12" s="8" t="n">
        <v>0.75</v>
      </c>
      <c r="AA12" s="8" t="n">
        <v>0.75</v>
      </c>
      <c r="AB12" s="8" t="n">
        <v>1.5</v>
      </c>
      <c r="AC12" s="8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6</v>
      </c>
    </row>
    <row r="13" ht="12.75" customHeight="1">
      <c r="A13" s="42" t="n"/>
      <c r="B13" s="26" t="inlineStr">
        <is>
          <t>Tiny Kong</t>
        </is>
      </c>
      <c r="C13" s="30" t="inlineStr">
        <is>
          <t>1B, CF</t>
        </is>
      </c>
      <c r="D13" t="n">
        <v>8</v>
      </c>
      <c r="E13" t="n">
        <v>8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2</v>
      </c>
      <c r="X13" t="n">
        <v>9</v>
      </c>
      <c r="Y13" s="8" t="n">
        <v>0.375</v>
      </c>
      <c r="Z13" s="8" t="n">
        <v>0.375</v>
      </c>
      <c r="AA13" s="8" t="n">
        <v>0.625</v>
      </c>
      <c r="AB13" s="8" t="n">
        <v>1</v>
      </c>
      <c r="AC13" s="8" t="n">
        <v>0.4444444444444444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4</v>
      </c>
    </row>
    <row r="14" ht="12.75" customHeight="1">
      <c r="A14" s="42" t="n"/>
      <c r="B14" s="26" t="inlineStr">
        <is>
          <t>King Boo</t>
        </is>
      </c>
      <c r="C14" s="30" t="inlineStr">
        <is>
          <t>RF</t>
        </is>
      </c>
      <c r="D14" t="n">
        <v>8</v>
      </c>
      <c r="E14" t="n">
        <v>8</v>
      </c>
      <c r="F14" t="n">
        <v>4</v>
      </c>
      <c r="G14" t="n">
        <v>3</v>
      </c>
      <c r="H14" t="n">
        <v>4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13</v>
      </c>
      <c r="V14" t="n">
        <v>0</v>
      </c>
      <c r="W14" t="n">
        <v>0</v>
      </c>
      <c r="X14" t="n">
        <v>1</v>
      </c>
      <c r="Y14" s="8" t="n">
        <v>0.375</v>
      </c>
      <c r="Z14" s="8" t="n">
        <v>0.375</v>
      </c>
      <c r="AA14" s="8" t="n">
        <v>1.625</v>
      </c>
      <c r="AB14" s="8" t="n">
        <v>2</v>
      </c>
      <c r="AC14" s="8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3</v>
      </c>
      <c r="AN14" t="n">
        <v>0</v>
      </c>
    </row>
    <row r="15" ht="12.75" customHeight="1">
      <c r="A15" s="42" t="n"/>
      <c r="B15" s="26" t="inlineStr">
        <is>
          <t>Red Magikoopa</t>
        </is>
      </c>
      <c r="C15" s="30" t="inlineStr">
        <is>
          <t>SS</t>
        </is>
      </c>
      <c r="D15" t="n">
        <v>6</v>
      </c>
      <c r="E15" t="n">
        <v>6</v>
      </c>
      <c r="F15" t="n">
        <v>1</v>
      </c>
      <c r="G15" t="n">
        <v>4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2</v>
      </c>
      <c r="X15" t="n">
        <v>5</v>
      </c>
      <c r="Y15" s="8" t="n">
        <v>0.6666666666666666</v>
      </c>
      <c r="Z15" s="8" t="n">
        <v>0.6666666666666666</v>
      </c>
      <c r="AA15" s="8" t="n">
        <v>1.166666666666667</v>
      </c>
      <c r="AB15" s="8" t="n">
        <v>1.833333333333333</v>
      </c>
      <c r="AC15" s="8" t="n">
        <v>0.4</v>
      </c>
      <c r="AD15" t="n">
        <v>0</v>
      </c>
      <c r="AE15" t="n">
        <v>0</v>
      </c>
      <c r="AF15" t="n">
        <v>0</v>
      </c>
      <c r="AG15" t="n">
        <v>4</v>
      </c>
      <c r="AH15" t="n">
        <v>4</v>
      </c>
      <c r="AI15" t="n">
        <v>0</v>
      </c>
      <c r="AJ15" t="n">
        <v>0</v>
      </c>
      <c r="AK15" t="n">
        <v>1</v>
      </c>
      <c r="AL15" t="n">
        <v>0</v>
      </c>
      <c r="AM15" s="5" t="n">
        <v>3</v>
      </c>
      <c r="AN15" t="n">
        <v>2</v>
      </c>
    </row>
    <row r="16" ht="12.75" customHeight="1">
      <c r="A16" s="42" t="n"/>
      <c r="B16" s="26" t="inlineStr">
        <is>
          <t>Toadette</t>
        </is>
      </c>
      <c r="C16" s="30" t="inlineStr">
        <is>
          <t>C</t>
        </is>
      </c>
      <c r="D16" t="n">
        <v>7</v>
      </c>
      <c r="E16" t="n">
        <v>7</v>
      </c>
      <c r="F16" t="n">
        <v>2</v>
      </c>
      <c r="G16" t="n">
        <v>5</v>
      </c>
      <c r="H16" t="n">
        <v>3</v>
      </c>
      <c r="I16" t="n">
        <v>0</v>
      </c>
      <c r="J16" t="n">
        <v>0</v>
      </c>
      <c r="K16" t="n">
        <v>0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2</v>
      </c>
      <c r="X16" t="n">
        <v>4</v>
      </c>
      <c r="Y16" s="8" t="n">
        <v>0.7142857142857143</v>
      </c>
      <c r="Z16" s="8" t="n">
        <v>0.7142857142857143</v>
      </c>
      <c r="AA16" s="8" t="n">
        <v>0.8571428571428571</v>
      </c>
      <c r="AB16" s="8" t="n">
        <v>1.571428571428571</v>
      </c>
      <c r="AC16" s="8" t="n">
        <v>0.5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2</v>
      </c>
    </row>
    <row r="17" ht="12.75" customHeight="1">
      <c r="A17" s="42" t="n"/>
      <c r="B17" s="26" t="inlineStr">
        <is>
          <t>Magikoopa</t>
        </is>
      </c>
      <c r="C17" s="30" t="inlineStr">
        <is>
          <t>2B</t>
        </is>
      </c>
      <c r="D17" t="n">
        <v>7</v>
      </c>
      <c r="E17" t="n">
        <v>7</v>
      </c>
      <c r="F17" t="n">
        <v>1</v>
      </c>
      <c r="G17" t="n">
        <v>5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4</v>
      </c>
      <c r="X17" t="n">
        <v>6</v>
      </c>
      <c r="Y17" s="8" t="n">
        <v>0.7142857142857143</v>
      </c>
      <c r="Z17" s="8" t="n">
        <v>0.7142857142857143</v>
      </c>
      <c r="AA17" s="8" t="n">
        <v>0.7142857142857143</v>
      </c>
      <c r="AB17" s="8" t="n">
        <v>1.428571428571429</v>
      </c>
      <c r="AC17" s="8" t="n">
        <v>0.6666666666666666</v>
      </c>
      <c r="AD17" t="n">
        <v>0</v>
      </c>
      <c r="AE17" t="n">
        <v>0</v>
      </c>
      <c r="AF17" t="n">
        <v>0</v>
      </c>
      <c r="AG17" t="n">
        <v>1</v>
      </c>
      <c r="AH17" t="n">
        <v>9</v>
      </c>
      <c r="AI17" t="n">
        <v>0</v>
      </c>
      <c r="AJ17" t="n">
        <v>0</v>
      </c>
      <c r="AK17" t="n">
        <v>1</v>
      </c>
      <c r="AL17" t="n">
        <v>0</v>
      </c>
      <c r="AM17" s="5" t="n">
        <v>5</v>
      </c>
      <c r="AN17" t="n">
        <v>4</v>
      </c>
    </row>
    <row r="18" ht="12.75" customHeight="1">
      <c r="A18" s="42" t="n"/>
      <c r="B18" s="26" t="inlineStr">
        <is>
          <t>Red Koopa Troopa</t>
        </is>
      </c>
      <c r="C18" s="30" t="inlineStr">
        <is>
          <t>LF</t>
        </is>
      </c>
      <c r="D18" t="n">
        <v>7</v>
      </c>
      <c r="E18" t="n">
        <v>7</v>
      </c>
      <c r="F18" t="n">
        <v>3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2</v>
      </c>
      <c r="X18" t="n">
        <v>7</v>
      </c>
      <c r="Y18" s="8" t="n">
        <v>0.4285714285714285</v>
      </c>
      <c r="Z18" s="8" t="n">
        <v>0.4285714285714285</v>
      </c>
      <c r="AA18" s="8" t="n">
        <v>0.4285714285714285</v>
      </c>
      <c r="AB18" s="8" t="n">
        <v>0.8571428571428571</v>
      </c>
      <c r="AC18" s="8" t="n">
        <v>0.2857142857142857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2</v>
      </c>
    </row>
    <row r="19" ht="12.75" customHeight="1">
      <c r="A19" s="42" t="n"/>
      <c r="B19" s="26" t="inlineStr">
        <is>
          <t>Purple Toad</t>
        </is>
      </c>
      <c r="C19" s="30" t="inlineStr">
        <is>
          <t>CF, 1B</t>
        </is>
      </c>
      <c r="D19" t="n">
        <v>7</v>
      </c>
      <c r="E19" t="n">
        <v>7</v>
      </c>
      <c r="F19" t="n">
        <v>4</v>
      </c>
      <c r="G19" t="n">
        <v>4</v>
      </c>
      <c r="H19" t="n">
        <v>5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13</v>
      </c>
      <c r="V19" t="n">
        <v>0</v>
      </c>
      <c r="W19" t="n">
        <v>1</v>
      </c>
      <c r="X19" t="n">
        <v>6</v>
      </c>
      <c r="Y19" s="8" t="n">
        <v>0.5714285714285714</v>
      </c>
      <c r="Z19" s="8" t="n">
        <v>0.5714285714285714</v>
      </c>
      <c r="AA19" s="8" t="n">
        <v>1.857142857142857</v>
      </c>
      <c r="AB19" s="8" t="n">
        <v>2.428571428571429</v>
      </c>
      <c r="AC19" s="8" t="n">
        <v>0.1666666666666667</v>
      </c>
      <c r="AD19" t="n">
        <v>0</v>
      </c>
      <c r="AE19" t="n">
        <v>0</v>
      </c>
      <c r="AF19" t="n">
        <v>0</v>
      </c>
      <c r="AG19" t="n">
        <v>13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s="5" t="n">
        <v>6</v>
      </c>
      <c r="AN19" t="n">
        <v>1</v>
      </c>
    </row>
    <row r="20" ht="12.75" customHeight="1">
      <c r="A20" s="42" t="n"/>
      <c r="B20" s="26" t="inlineStr">
        <is>
          <t>Red Toad</t>
        </is>
      </c>
      <c r="C20" s="30" t="inlineStr">
        <is>
          <t>3B</t>
        </is>
      </c>
      <c r="D20" t="n">
        <v>6</v>
      </c>
      <c r="E20" t="n">
        <v>6</v>
      </c>
      <c r="F20" t="n">
        <v>3</v>
      </c>
      <c r="G20" t="n">
        <v>3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0</v>
      </c>
      <c r="W20" t="n">
        <v>0</v>
      </c>
      <c r="X20" t="n">
        <v>2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6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7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Paratroopa</t>
        </is>
      </c>
      <c r="B2" t="inlineStr">
        <is>
          <t>Knights</t>
        </is>
      </c>
      <c r="C2" s="22" t="n">
        <v>64</v>
      </c>
      <c r="D2" s="11" t="n">
        <v>10</v>
      </c>
      <c r="E2" t="n">
        <v>90</v>
      </c>
      <c r="F2" t="n">
        <v>10</v>
      </c>
      <c r="G2" t="n">
        <v>1</v>
      </c>
      <c r="H2" t="n">
        <v>0</v>
      </c>
      <c r="I2" t="n">
        <v>0</v>
      </c>
      <c r="J2" t="n">
        <v>0</v>
      </c>
      <c r="K2" t="n">
        <v>36</v>
      </c>
      <c r="L2" t="n">
        <v>25</v>
      </c>
      <c r="M2" t="n">
        <v>24</v>
      </c>
      <c r="N2" t="n">
        <v>3</v>
      </c>
      <c r="O2" t="n">
        <v>0</v>
      </c>
      <c r="P2" t="n">
        <v>10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17.5</v>
      </c>
      <c r="X2" s="8" t="n">
        <v>22.5</v>
      </c>
      <c r="Y2" s="8" t="n">
        <v>3.6</v>
      </c>
      <c r="Z2" s="8" t="n">
        <v>0.5625</v>
      </c>
      <c r="AA2" s="8" t="n">
        <v>0.5625</v>
      </c>
      <c r="AB2" s="8" t="n">
        <v>1.09375</v>
      </c>
      <c r="AC2" s="8" t="n">
        <v>1.65625</v>
      </c>
      <c r="AD2" t="n">
        <v>64</v>
      </c>
      <c r="AE2" t="n">
        <v>70</v>
      </c>
    </row>
    <row r="3" ht="12.75" customHeight="1">
      <c r="A3" s="7" t="inlineStr">
        <is>
          <t>Shy Guy</t>
        </is>
      </c>
      <c r="B3" t="inlineStr">
        <is>
          <t>Fireballs</t>
        </is>
      </c>
      <c r="C3" s="22" t="n">
        <v>58</v>
      </c>
      <c r="D3" s="11" t="n">
        <v>10</v>
      </c>
      <c r="E3" t="n">
        <v>92</v>
      </c>
      <c r="F3" t="n">
        <v>15</v>
      </c>
      <c r="G3" t="n">
        <v>0</v>
      </c>
      <c r="H3" t="n">
        <v>1</v>
      </c>
      <c r="I3" t="n">
        <v>0</v>
      </c>
      <c r="J3" t="n">
        <v>0</v>
      </c>
      <c r="K3" t="n">
        <v>32</v>
      </c>
      <c r="L3" t="n">
        <v>26</v>
      </c>
      <c r="M3" t="n">
        <v>20</v>
      </c>
      <c r="N3" t="n">
        <v>4</v>
      </c>
      <c r="O3" t="n">
        <v>0</v>
      </c>
      <c r="P3" t="n">
        <v>8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18.2</v>
      </c>
      <c r="X3" s="8" t="n">
        <v>23.4</v>
      </c>
      <c r="Y3" s="8" t="n">
        <v>3.2</v>
      </c>
      <c r="Z3" s="8" t="n">
        <v>0.5614035087719298</v>
      </c>
      <c r="AA3" s="8" t="n">
        <v>0.5517241379310345</v>
      </c>
      <c r="AB3" s="8" t="n">
        <v>1.052631578947368</v>
      </c>
      <c r="AC3" s="8" t="n">
        <v>1.604355716878403</v>
      </c>
      <c r="AD3" t="n">
        <v>57</v>
      </c>
      <c r="AE3" t="n">
        <v>60</v>
      </c>
    </row>
    <row r="4" ht="12.75" customHeight="1">
      <c r="A4" s="48" t="inlineStr">
        <is>
          <t>Knights Totals</t>
        </is>
      </c>
      <c r="B4" s="44" t="inlineStr">
        <is>
          <t>Knights</t>
        </is>
      </c>
      <c r="C4" s="49">
        <f>SUM(C2:C2)</f>
        <v/>
      </c>
      <c r="D4" s="50">
        <f>SUM(D2:D2)</f>
        <v/>
      </c>
      <c r="E4" s="44">
        <f>SUM(E2:E2)</f>
        <v/>
      </c>
      <c r="F4" s="44">
        <f>SUM(F2:F2)</f>
        <v/>
      </c>
      <c r="G4" s="44">
        <f>SUM(G2:G2)</f>
        <v/>
      </c>
      <c r="H4" s="44">
        <f>SUM(H2:H2)</f>
        <v/>
      </c>
      <c r="I4" s="44">
        <f>SUM(I2:I2)</f>
        <v/>
      </c>
      <c r="J4" s="44">
        <f>SUM(J2:J2)</f>
        <v/>
      </c>
      <c r="K4" s="44">
        <f>SUM(K2:K2)</f>
        <v/>
      </c>
      <c r="L4" s="44">
        <f>SUM(L2:L2)</f>
        <v/>
      </c>
      <c r="M4" s="44">
        <f>SUM(M2:M2)</f>
        <v/>
      </c>
      <c r="N4" s="44">
        <f>SUM(N2:N2)</f>
        <v/>
      </c>
      <c r="O4" s="44">
        <f>SUM(O2:O2)</f>
        <v/>
      </c>
      <c r="P4" s="44">
        <f>SUM(P2:P2)</f>
        <v/>
      </c>
      <c r="Q4" s="44">
        <f>SUM(Q2:Q2)</f>
        <v/>
      </c>
      <c r="R4" s="44">
        <f>SUM(R2:R2)</f>
        <v/>
      </c>
      <c r="S4" s="44">
        <f>SUM(S2:S2)</f>
        <v/>
      </c>
      <c r="T4" s="44">
        <f>SUM(T2:T2)</f>
        <v/>
      </c>
      <c r="U4" s="44">
        <f>SUM(U2:U2)</f>
        <v/>
      </c>
      <c r="V4" s="44">
        <f>SUM(V2:V2)</f>
        <v/>
      </c>
      <c r="W4" s="51">
        <f>IF(D4=0,"INF",Q4*7/D4)</f>
        <v/>
      </c>
      <c r="X4" s="51">
        <f>IF(D4=0,"INF",Q4*9/D4)</f>
        <v/>
      </c>
      <c r="Y4" s="51">
        <f>IF(D4=0,"INF",(I4+K4)/D4)</f>
        <v/>
      </c>
      <c r="Z4" s="51">
        <f>IF(SUM(AD2:AD2)=0,0,SUM(K2:K2)/SUM(AD2:AD2))</f>
        <v/>
      </c>
      <c r="AA4" s="51">
        <f>IF(SUM(C2:C2)=0,0,(SUM(K2:K2)+SUM(I2:I2)+SUM(J2:J2))/SUM(C2:C2))</f>
        <v/>
      </c>
      <c r="AB4" s="51">
        <f>IF(SUM(AD2:AD2)=0,0,SUM(AE2:AE2)/SUM(AD2:AD2))</f>
        <v/>
      </c>
      <c r="AC4" s="51">
        <f>AA4+AB4</f>
        <v/>
      </c>
      <c r="AD4" s="44" t="n"/>
      <c r="AE4" s="44" t="n"/>
    </row>
    <row r="5" ht="12.75" customHeight="1">
      <c r="A5" s="52" t="inlineStr">
        <is>
          <t>Fireballs Totals</t>
        </is>
      </c>
      <c r="B5" s="47" t="inlineStr">
        <is>
          <t>Fireballs</t>
        </is>
      </c>
      <c r="C5" s="53">
        <f>SUM(C3:C3)</f>
        <v/>
      </c>
      <c r="D5" s="54">
        <f>SUM(D3:D3)</f>
        <v/>
      </c>
      <c r="E5" s="47">
        <f>SUM(E3:E3)</f>
        <v/>
      </c>
      <c r="F5" s="47">
        <f>SUM(F3:F3)</f>
        <v/>
      </c>
      <c r="G5" s="47">
        <f>SUM(G3:G3)</f>
        <v/>
      </c>
      <c r="H5" s="47">
        <f>SUM(H3:H3)</f>
        <v/>
      </c>
      <c r="I5" s="47">
        <f>SUM(I3:I3)</f>
        <v/>
      </c>
      <c r="J5" s="47">
        <f>SUM(J3:J3)</f>
        <v/>
      </c>
      <c r="K5" s="47">
        <f>SUM(K3:K3)</f>
        <v/>
      </c>
      <c r="L5" s="47">
        <f>SUM(L3:L3)</f>
        <v/>
      </c>
      <c r="M5" s="47">
        <f>SUM(M3:M3)</f>
        <v/>
      </c>
      <c r="N5" s="47">
        <f>SUM(N3:N3)</f>
        <v/>
      </c>
      <c r="O5" s="47">
        <f>SUM(O3:O3)</f>
        <v/>
      </c>
      <c r="P5" s="47">
        <f>SUM(P3:P3)</f>
        <v/>
      </c>
      <c r="Q5" s="47">
        <f>SUM(Q3:Q3)</f>
        <v/>
      </c>
      <c r="R5" s="47">
        <f>SUM(R3:R3)</f>
        <v/>
      </c>
      <c r="S5" s="47">
        <f>SUM(S3:S3)</f>
        <v/>
      </c>
      <c r="T5" s="47">
        <f>SUM(T3:T3)</f>
        <v/>
      </c>
      <c r="U5" s="47">
        <f>SUM(U3:U3)</f>
        <v/>
      </c>
      <c r="V5" s="47">
        <f>SUM(V3:V3)</f>
        <v/>
      </c>
      <c r="W5" s="55">
        <f>IF(D5=0,"INF",Q5*7/D5)</f>
        <v/>
      </c>
      <c r="X5" s="56">
        <f>IF(D5=0,"INF",Q5*9/D5)</f>
        <v/>
      </c>
      <c r="Y5" s="56">
        <f>IF(D5=0,"INF",(I5+K5)/D5)</f>
        <v/>
      </c>
      <c r="Z5" s="56">
        <f>IF(SUM(AD3:AD3)=0,0,SUM(K3:K3)/SUM(AD3:AD3))</f>
        <v/>
      </c>
      <c r="AA5" s="56">
        <f>IF(SUM(C3:C3)=0,0,(SUM(K3:K3)+SUM(I3:I3)+SUM(J3:J3))/SUM(C3:C3))</f>
        <v/>
      </c>
      <c r="AB5" s="56">
        <f>IF(SUM(AD3:AD3)=0,0,SUM(AE3:AE3)/SUM(AD3:AD3))</f>
        <v/>
      </c>
      <c r="AC5" s="56">
        <f>AA5+AB5</f>
        <v/>
      </c>
      <c r="AD5" s="47" t="n"/>
      <c r="AE5" s="47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2026-09-11T21:56:11Z</dcterms:modified>
</cp:coreProperties>
</file>