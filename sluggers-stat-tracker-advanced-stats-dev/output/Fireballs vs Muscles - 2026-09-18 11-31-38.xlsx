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Wario</t>
        </is>
      </c>
    </row>
    <row r="21" ht="15" customHeight="1">
      <c r="J21" s="17" t="inlineStr">
        <is>
          <t>Blue Dry Bones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Bowser</t>
        </is>
      </c>
    </row>
    <row r="22" ht="15" customHeight="1">
      <c r="J22" s="17" t="inlineStr">
        <is>
          <t>Dark Bones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Blue Pianta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Red Pianta</t>
        </is>
      </c>
    </row>
    <row r="24" ht="15" customHeight="1">
      <c r="J24" s="17" t="inlineStr">
        <is>
          <t>Fire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Blue Kritter</t>
        </is>
      </c>
    </row>
    <row r="25" ht="15" customHeight="1">
      <c r="J25" s="17" t="inlineStr">
        <is>
          <t>Blooper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Baby DK</t>
        </is>
      </c>
    </row>
    <row r="26" ht="15" customHeight="1">
      <c r="J26" s="17" t="inlineStr">
        <is>
          <t>Green Paratroopa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Shy Guy</t>
        </is>
      </c>
    </row>
    <row r="27" ht="15" customHeight="1">
      <c r="J27" s="17" t="inlineStr">
        <is>
          <t>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Tiny Kong</t>
        </is>
      </c>
    </row>
    <row r="28" ht="15" customHeight="1">
      <c r="J28" s="17" t="inlineStr">
        <is>
          <t>Yellow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n">
        <v>4</v>
      </c>
      <c r="O30" s="39" t="inlineStr">
        <is>
          <t>Final</t>
        </is>
      </c>
    </row>
    <row r="31" ht="15" customHeight="1">
      <c r="J31" s="17" t="inlineStr">
        <is>
          <t>Mario Fireballs</t>
        </is>
      </c>
      <c r="K31" t="n">
        <v>2</v>
      </c>
      <c r="L31" t="n">
        <v>1</v>
      </c>
      <c r="M31" t="n">
        <v>1</v>
      </c>
      <c r="N31" s="38" t="n">
        <v>0</v>
      </c>
      <c r="O31" s="40" t="n">
        <v>4</v>
      </c>
    </row>
    <row r="32" ht="15" customHeight="1">
      <c r="J32" s="17" t="inlineStr">
        <is>
          <t>Wario Muscles</t>
        </is>
      </c>
      <c r="K32" t="n">
        <v>0</v>
      </c>
      <c r="L32" t="n">
        <v>0</v>
      </c>
      <c r="M32" t="n">
        <v>4</v>
      </c>
      <c r="N32" s="38" t="n">
        <v>1</v>
      </c>
      <c r="O32" s="40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1" t="inlineStr">
        <is>
          <t>Fireballs</t>
        </is>
      </c>
      <c r="B2" s="26" t="inlineStr">
        <is>
          <t>Mario</t>
        </is>
      </c>
      <c r="C2" s="30" t="inlineStr">
        <is>
          <t>P</t>
        </is>
      </c>
      <c r="D2" t="n">
        <v>2</v>
      </c>
      <c r="E2" t="n">
        <v>2</v>
      </c>
      <c r="F2" s="1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1</v>
      </c>
      <c r="Y2" s="8" t="n">
        <v>0.5</v>
      </c>
      <c r="Z2" s="8" t="n">
        <v>0.5</v>
      </c>
      <c r="AA2" s="8" t="n">
        <v>1</v>
      </c>
      <c r="AB2" s="8" t="n">
        <v>1.5</v>
      </c>
      <c r="AC2" s="8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2" t="n"/>
      <c r="B3" s="26" t="inlineStr">
        <is>
          <t>Blue Dry Bones</t>
        </is>
      </c>
      <c r="C3" s="30" t="inlineStr">
        <is>
          <t>C</t>
        </is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s="8" t="n">
        <v>1</v>
      </c>
      <c r="Z3" s="8" t="n">
        <v>1</v>
      </c>
      <c r="AA3" s="8" t="n">
        <v>4</v>
      </c>
      <c r="AB3" s="8" t="n">
        <v>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2" t="n"/>
      <c r="B4" s="26" t="inlineStr">
        <is>
          <t>Dark Bones</t>
        </is>
      </c>
      <c r="C4" s="30" t="inlineStr">
        <is>
          <t>1B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s="5" t="n">
        <v>1</v>
      </c>
      <c r="AN4" t="n">
        <v>0</v>
      </c>
    </row>
    <row r="5" ht="12.75" customHeight="1">
      <c r="A5" s="42" t="n"/>
      <c r="B5" s="26" t="inlineStr">
        <is>
          <t>Hammer Bro.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2" t="n"/>
      <c r="B6" s="26" t="inlineStr">
        <is>
          <t>Fire Bro.</t>
        </is>
      </c>
      <c r="C6" s="30" t="inlineStr">
        <is>
          <t>3B</t>
        </is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1</v>
      </c>
    </row>
    <row r="7" ht="12.75" customHeight="1">
      <c r="A7" s="42" t="n"/>
      <c r="B7" s="26" t="inlineStr">
        <is>
          <t>Blooper</t>
        </is>
      </c>
      <c r="C7" s="30" t="inlineStr">
        <is>
          <t>SS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1</v>
      </c>
      <c r="AN7" t="n">
        <v>0</v>
      </c>
    </row>
    <row r="8" ht="12.75" customHeight="1">
      <c r="A8" s="42" t="n"/>
      <c r="B8" s="26" t="inlineStr">
        <is>
          <t>Green Paratroopa</t>
        </is>
      </c>
      <c r="C8" s="30" t="inlineStr">
        <is>
          <t>LF</t>
        </is>
      </c>
      <c r="D8" t="n">
        <v>2</v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1</v>
      </c>
      <c r="X8" t="n">
        <v>2</v>
      </c>
      <c r="Y8" s="8" t="n">
        <v>1</v>
      </c>
      <c r="Z8" s="8" t="n">
        <v>1</v>
      </c>
      <c r="AA8" s="8" t="n">
        <v>1.5</v>
      </c>
      <c r="AB8" s="8" t="n">
        <v>2.5</v>
      </c>
      <c r="AC8" s="8" t="n">
        <v>0.5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2" t="n"/>
      <c r="B9" s="26" t="inlineStr">
        <is>
          <t>Yoshi</t>
        </is>
      </c>
      <c r="C9" s="30" t="inlineStr">
        <is>
          <t>CF</t>
        </is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2</v>
      </c>
      <c r="Y9" s="8" t="n">
        <v>0.5</v>
      </c>
      <c r="Z9" s="8" t="n">
        <v>0.5</v>
      </c>
      <c r="AA9" s="8" t="n">
        <v>0.5</v>
      </c>
      <c r="AB9" s="8" t="n">
        <v>1</v>
      </c>
      <c r="AC9" s="8" t="n">
        <v>0.5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1</v>
      </c>
      <c r="AN9" t="n">
        <v>1</v>
      </c>
    </row>
    <row r="10" ht="12.75" customHeight="1">
      <c r="A10" s="42" t="n"/>
      <c r="B10" s="26" t="inlineStr">
        <is>
          <t>Yellow Shy Guy</t>
        </is>
      </c>
      <c r="C10" s="30" t="inlineStr">
        <is>
          <t>RF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3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4" t="n"/>
    </row>
    <row r="12" ht="12.75" customHeight="1">
      <c r="A12" s="45" t="inlineStr">
        <is>
          <t>Muscles</t>
        </is>
      </c>
      <c r="B12" s="26" t="inlineStr">
        <is>
          <t>Wario</t>
        </is>
      </c>
      <c r="C12" s="30" t="inlineStr">
        <is>
          <t>P, 1B</t>
        </is>
      </c>
      <c r="D12" t="n">
        <v>2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s="5" t="n">
        <v>0</v>
      </c>
      <c r="AN12" t="n">
        <v>0</v>
      </c>
    </row>
    <row r="13" ht="12.75" customHeight="1">
      <c r="A13" s="42" t="n"/>
      <c r="B13" s="26" t="inlineStr">
        <is>
          <t>Bowser</t>
        </is>
      </c>
      <c r="C13" s="30" t="inlineStr">
        <is>
          <t>C, RF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s="5" t="n">
        <v>0</v>
      </c>
      <c r="AN13" t="n">
        <v>0</v>
      </c>
    </row>
    <row r="14" ht="12.75" customHeight="1">
      <c r="A14" s="42" t="n"/>
      <c r="B14" s="26" t="inlineStr">
        <is>
          <t>Blue Pianta</t>
        </is>
      </c>
      <c r="C14" s="30" t="inlineStr">
        <is>
          <t>1B, P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s="8" t="n">
        <v>0.5</v>
      </c>
      <c r="Z14" s="8" t="n">
        <v>0.5</v>
      </c>
      <c r="AA14" s="8" t="n">
        <v>1</v>
      </c>
      <c r="AB14" s="8" t="n">
        <v>1.5</v>
      </c>
      <c r="AC14" s="8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2" t="n"/>
      <c r="B15" s="26" t="inlineStr">
        <is>
          <t>Red Pianta</t>
        </is>
      </c>
      <c r="C15" s="30" t="inlineStr">
        <is>
          <t>2B, C</t>
        </is>
      </c>
      <c r="D15" t="n">
        <v>2</v>
      </c>
      <c r="E15" t="n">
        <v>2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2</v>
      </c>
      <c r="X15" t="n">
        <v>3</v>
      </c>
      <c r="Y15" s="8" t="n">
        <v>1</v>
      </c>
      <c r="Z15" s="8" t="n">
        <v>1</v>
      </c>
      <c r="AA15" s="8" t="n">
        <v>2.5</v>
      </c>
      <c r="AB15" s="8" t="n">
        <v>3.5</v>
      </c>
      <c r="AC15" s="8" t="n">
        <v>1.666666666666667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5</v>
      </c>
    </row>
    <row r="16" ht="12.75" customHeight="1">
      <c r="A16" s="42" t="n"/>
      <c r="B16" s="26" t="inlineStr">
        <is>
          <t>Blue Kritter</t>
        </is>
      </c>
      <c r="C16" s="30" t="inlineStr">
        <is>
          <t>3B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2</v>
      </c>
      <c r="AN16" t="n">
        <v>0</v>
      </c>
    </row>
    <row r="17" ht="12.75" customHeight="1">
      <c r="A17" s="42" t="n"/>
      <c r="B17" s="26" t="inlineStr">
        <is>
          <t>Baby DK</t>
        </is>
      </c>
      <c r="C17" s="30" t="inlineStr">
        <is>
          <t>SS</t>
        </is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s="8" t="n">
        <v>0.5</v>
      </c>
      <c r="Z17" s="8" t="n">
        <v>0.5</v>
      </c>
      <c r="AA17" s="8" t="n">
        <v>0.5</v>
      </c>
      <c r="AB17" s="8" t="n">
        <v>1</v>
      </c>
      <c r="AC17" s="8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2" t="n"/>
      <c r="B18" s="26" t="inlineStr">
        <is>
          <t>Shy Guy</t>
        </is>
      </c>
      <c r="C18" s="30" t="inlineStr">
        <is>
          <t>LF, 2B</t>
        </is>
      </c>
      <c r="D18" t="n">
        <v>2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s="5" t="n">
        <v>0</v>
      </c>
      <c r="AN18" t="n">
        <v>0</v>
      </c>
    </row>
    <row r="19" ht="12.75" customHeight="1">
      <c r="A19" s="42" t="n"/>
      <c r="B19" s="26" t="inlineStr">
        <is>
          <t>Tiny Kong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2" t="n"/>
      <c r="B20" s="26" t="inlineStr">
        <is>
          <t>Toadette</t>
        </is>
      </c>
      <c r="C20" s="30" t="inlineStr">
        <is>
          <t>RF, LF</t>
        </is>
      </c>
      <c r="D20" t="n">
        <v>2</v>
      </c>
      <c r="E20" t="n">
        <v>2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</v>
      </c>
      <c r="X20" t="n">
        <v>3</v>
      </c>
      <c r="Y20" s="8" t="n">
        <v>1</v>
      </c>
      <c r="Z20" s="8" t="n">
        <v>1</v>
      </c>
      <c r="AA20" s="8" t="n">
        <v>2</v>
      </c>
      <c r="AB20" s="8" t="n">
        <v>3</v>
      </c>
      <c r="AC20" s="8" t="n">
        <v>1.333333333333333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4</v>
      </c>
    </row>
    <row r="21" ht="12.75" customHeight="1">
      <c r="A21" s="46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7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17</v>
      </c>
      <c r="D2" s="11" t="n">
        <v>3.333333333333333</v>
      </c>
      <c r="E2" t="n">
        <v>31</v>
      </c>
      <c r="F2" t="n">
        <v>8</v>
      </c>
      <c r="G2" t="n">
        <v>1</v>
      </c>
      <c r="H2" t="n">
        <v>0</v>
      </c>
      <c r="I2" t="n">
        <v>0</v>
      </c>
      <c r="J2" t="n">
        <v>0</v>
      </c>
      <c r="K2" t="n">
        <v>6</v>
      </c>
      <c r="L2" t="n">
        <v>5</v>
      </c>
      <c r="M2" t="n">
        <v>3</v>
      </c>
      <c r="N2" t="n">
        <v>1</v>
      </c>
      <c r="O2" t="n">
        <v>1</v>
      </c>
      <c r="P2" t="n">
        <v>1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10.5</v>
      </c>
      <c r="X2" s="8" t="n">
        <v>13.5</v>
      </c>
      <c r="Y2" s="8" t="n">
        <v>1.8</v>
      </c>
      <c r="Z2" s="8" t="n">
        <v>0.3529411764705883</v>
      </c>
      <c r="AA2" s="8" t="n">
        <v>0.3529411764705883</v>
      </c>
      <c r="AB2" s="8" t="n">
        <v>0.7058823529411765</v>
      </c>
      <c r="AC2" s="8" t="n">
        <v>1.058823529411765</v>
      </c>
      <c r="AD2" t="n">
        <v>17</v>
      </c>
      <c r="AE2" t="n">
        <v>12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3</v>
      </c>
      <c r="D3" s="11" t="n">
        <v>0.3333333333333333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42</v>
      </c>
      <c r="X3" s="8" t="n">
        <v>54</v>
      </c>
      <c r="Y3" s="8" t="n">
        <v>6</v>
      </c>
      <c r="Z3" s="8" t="n">
        <v>0.6666666666666666</v>
      </c>
      <c r="AA3" s="8" t="n">
        <v>0.6666666666666666</v>
      </c>
      <c r="AB3" s="8" t="n">
        <v>2</v>
      </c>
      <c r="AC3" s="8" t="n">
        <v>2.666666666666667</v>
      </c>
      <c r="AD3" t="n">
        <v>3</v>
      </c>
      <c r="AE3" t="n">
        <v>6</v>
      </c>
    </row>
    <row r="4" ht="12.75" customHeight="1">
      <c r="A4" s="7" t="inlineStr">
        <is>
          <t>Blue Pianta</t>
        </is>
      </c>
      <c r="B4" t="inlineStr">
        <is>
          <t>Muscles</t>
        </is>
      </c>
      <c r="C4" s="22" t="n">
        <v>15</v>
      </c>
      <c r="D4" s="11" t="n">
        <v>3.666666666666667</v>
      </c>
      <c r="E4" t="n">
        <v>22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2</v>
      </c>
      <c r="M4" t="n">
        <v>3</v>
      </c>
      <c r="N4" t="n">
        <v>1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3.818181818181818</v>
      </c>
      <c r="X4" s="8" t="n">
        <v>4.909090909090909</v>
      </c>
      <c r="Y4" s="8" t="n">
        <v>1.363636363636364</v>
      </c>
      <c r="Z4" s="8" t="n">
        <v>0.3333333333333333</v>
      </c>
      <c r="AA4" s="8" t="n">
        <v>0.3333333333333333</v>
      </c>
      <c r="AB4" s="8" t="n">
        <v>0.6</v>
      </c>
      <c r="AC4" s="8" t="n">
        <v>0.9333333333333333</v>
      </c>
      <c r="AD4" t="n">
        <v>15</v>
      </c>
      <c r="AE4" t="n">
        <v>9</v>
      </c>
    </row>
    <row r="5" ht="12.75" customHeight="1">
      <c r="A5" s="48" t="inlineStr">
        <is>
          <t>Fireballs Totals</t>
        </is>
      </c>
      <c r="B5" s="44" t="inlineStr">
        <is>
          <t>Fireballs</t>
        </is>
      </c>
      <c r="C5" s="49">
        <f>SUM(C2:C2)</f>
        <v/>
      </c>
      <c r="D5" s="50">
        <f>SUM(D2:D2)</f>
        <v/>
      </c>
      <c r="E5" s="44">
        <f>SUM(E2:E2)</f>
        <v/>
      </c>
      <c r="F5" s="44">
        <f>SUM(F2:F2)</f>
        <v/>
      </c>
      <c r="G5" s="44">
        <f>SUM(G2:G2)</f>
        <v/>
      </c>
      <c r="H5" s="44">
        <f>SUM(H2:H2)</f>
        <v/>
      </c>
      <c r="I5" s="44">
        <f>SUM(I2:I2)</f>
        <v/>
      </c>
      <c r="J5" s="44">
        <f>SUM(J2:J2)</f>
        <v/>
      </c>
      <c r="K5" s="44">
        <f>SUM(K2:K2)</f>
        <v/>
      </c>
      <c r="L5" s="44">
        <f>SUM(L2:L2)</f>
        <v/>
      </c>
      <c r="M5" s="44">
        <f>SUM(M2:M2)</f>
        <v/>
      </c>
      <c r="N5" s="44">
        <f>SUM(N2:N2)</f>
        <v/>
      </c>
      <c r="O5" s="44">
        <f>SUM(O2:O2)</f>
        <v/>
      </c>
      <c r="P5" s="44">
        <f>SUM(P2:P2)</f>
        <v/>
      </c>
      <c r="Q5" s="44">
        <f>SUM(Q2:Q2)</f>
        <v/>
      </c>
      <c r="R5" s="44">
        <f>SUM(R2:R2)</f>
        <v/>
      </c>
      <c r="S5" s="44">
        <f>SUM(S2:S2)</f>
        <v/>
      </c>
      <c r="T5" s="44">
        <f>SUM(T2:T2)</f>
        <v/>
      </c>
      <c r="U5" s="44">
        <f>SUM(U2:U2)</f>
        <v/>
      </c>
      <c r="V5" s="44">
        <f>SUM(V2:V2)</f>
        <v/>
      </c>
      <c r="W5" s="51">
        <f>IF(D5=0,"INF",Q5*7/D5)</f>
        <v/>
      </c>
      <c r="X5" s="52">
        <f>IF(D5=0,"INF",Q5*9/D5)</f>
        <v/>
      </c>
      <c r="Y5" s="52">
        <f>IF(D5=0,"INF",(I5+K5)/D5)</f>
        <v/>
      </c>
      <c r="Z5" s="52">
        <f>IF(SUM(AD2:AD2)=0,0,SUM(K2:K2)/SUM(AD2:AD2))</f>
        <v/>
      </c>
      <c r="AA5" s="52">
        <f>IF(SUM(C2:C2)=0,0,(SUM(K2:K2)+SUM(I2:I2)+SUM(J2:J2))/SUM(C2:C2))</f>
        <v/>
      </c>
      <c r="AB5" s="52">
        <f>IF(SUM(AD2:AD2)=0,0,SUM(AE2:AE2)/SUM(AD2:AD2))</f>
        <v/>
      </c>
      <c r="AC5" s="52">
        <f>AA5+AB5</f>
        <v/>
      </c>
      <c r="AD5" s="44" t="n"/>
      <c r="AE5" s="44" t="n"/>
    </row>
    <row r="6" ht="12.75" customHeight="1">
      <c r="A6" s="53" t="inlineStr">
        <is>
          <t>Muscles Totals</t>
        </is>
      </c>
      <c r="B6" s="47" t="inlineStr">
        <is>
          <t>Muscles</t>
        </is>
      </c>
      <c r="C6" s="54">
        <f>SUM(C3:C4)</f>
        <v/>
      </c>
      <c r="D6" s="55">
        <f>SUM(D3:D4)</f>
        <v/>
      </c>
      <c r="E6" s="47">
        <f>SUM(E3:E4)</f>
        <v/>
      </c>
      <c r="F6" s="47">
        <f>SUM(F3:F4)</f>
        <v/>
      </c>
      <c r="G6" s="47">
        <f>SUM(G3:G4)</f>
        <v/>
      </c>
      <c r="H6" s="47">
        <f>SUM(H3:H4)</f>
        <v/>
      </c>
      <c r="I6" s="47">
        <f>SUM(I3:I4)</f>
        <v/>
      </c>
      <c r="J6" s="47">
        <f>SUM(J3:J4)</f>
        <v/>
      </c>
      <c r="K6" s="47">
        <f>SUM(K3:K4)</f>
        <v/>
      </c>
      <c r="L6" s="47">
        <f>SUM(L3:L4)</f>
        <v/>
      </c>
      <c r="M6" s="47">
        <f>SUM(M3:M4)</f>
        <v/>
      </c>
      <c r="N6" s="47">
        <f>SUM(N3:N4)</f>
        <v/>
      </c>
      <c r="O6" s="47">
        <f>SUM(O3:O4)</f>
        <v/>
      </c>
      <c r="P6" s="47">
        <f>SUM(P3:P4)</f>
        <v/>
      </c>
      <c r="Q6" s="47">
        <f>SUM(Q3:Q4)</f>
        <v/>
      </c>
      <c r="R6" s="47">
        <f>SUM(R3:R4)</f>
        <v/>
      </c>
      <c r="S6" s="47">
        <f>SUM(S3:S4)</f>
        <v/>
      </c>
      <c r="T6" s="47">
        <f>SUM(T3:T4)</f>
        <v/>
      </c>
      <c r="U6" s="47">
        <f>SUM(U3:U4)</f>
        <v/>
      </c>
      <c r="V6" s="47">
        <f>SUM(V3:V4)</f>
        <v/>
      </c>
      <c r="W6" s="56">
        <f>IF(D6=0,"INF",Q6*7/D6)</f>
        <v/>
      </c>
      <c r="X6" s="56">
        <f>IF(D6=0,"INF",Q6*9/D6)</f>
        <v/>
      </c>
      <c r="Y6" s="56">
        <f>IF(D6=0,"INF",(I6+K6)/D6)</f>
        <v/>
      </c>
      <c r="Z6" s="56">
        <f>IF(SUM(AD3:AD4)=0,0,SUM(K3:K4)/SUM(AD3:AD4))</f>
        <v/>
      </c>
      <c r="AA6" s="56">
        <f>IF(SUM(C3:C4)=0,0,(SUM(K3:K4)+SUM(I3:I4)+SUM(J3:J4))/SUM(C3:C4))</f>
        <v/>
      </c>
      <c r="AB6" s="56">
        <f>IF(SUM(AD3:AD4)=0,0,SUM(AE3:AE4)/SUM(AD3:AD4))</f>
        <v/>
      </c>
      <c r="AC6" s="56">
        <f>AA6+AB6</f>
        <v/>
      </c>
      <c r="AD6" s="47" t="n"/>
      <c r="AE6" s="47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2026-09-18T15:31:38Z</dcterms:modified>
</cp:coreProperties>
</file>