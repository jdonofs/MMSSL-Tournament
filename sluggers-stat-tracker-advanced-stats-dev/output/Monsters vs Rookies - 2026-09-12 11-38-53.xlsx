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Bowser Monsters</t>
        </is>
      </c>
      <c r="N11" s="16" t="inlineStr">
        <is>
          <t>VS</t>
        </is>
      </c>
      <c r="P11" s="13" t="inlineStr">
        <is>
          <t>Jr. Rookies</t>
        </is>
      </c>
    </row>
    <row r="12" ht="40.5" customHeight="1">
      <c r="I12" s="33" t="n">
        <v>24</v>
      </c>
      <c r="P12" s="33" t="n">
        <v>10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DK Jungle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Blooper</t>
        </is>
      </c>
      <c r="K20" s="19" t="inlineStr">
        <is>
          <t>3B</t>
        </is>
      </c>
      <c r="Q20" s="19" t="inlineStr">
        <is>
          <t>LF</t>
        </is>
      </c>
      <c r="R20" s="20" t="inlineStr">
        <is>
          <t>Bowser Jr.</t>
        </is>
      </c>
    </row>
    <row r="21" ht="15" customHeight="1">
      <c r="J21" s="17" t="inlineStr">
        <is>
          <t>Blue Kritter</t>
        </is>
      </c>
      <c r="K21" s="19" t="inlineStr">
        <is>
          <t>CF</t>
        </is>
      </c>
      <c r="Q21" s="19" t="inlineStr">
        <is>
          <t>C</t>
        </is>
      </c>
      <c r="R21" s="20" t="inlineStr">
        <is>
          <t>Blue Dry Bones</t>
        </is>
      </c>
    </row>
    <row r="22" ht="15" customHeight="1">
      <c r="J22" s="17" t="inlineStr">
        <is>
          <t>Yellow Pianta</t>
        </is>
      </c>
      <c r="K22" s="19" t="inlineStr">
        <is>
          <t>P</t>
        </is>
      </c>
      <c r="Q22" s="19" t="inlineStr">
        <is>
          <t>CF</t>
        </is>
      </c>
      <c r="R22" s="20" t="inlineStr">
        <is>
          <t>Blue Toad</t>
        </is>
      </c>
    </row>
    <row r="23" ht="15" customHeight="1">
      <c r="J23" s="17" t="inlineStr">
        <is>
          <t>Blue Shy Guy</t>
        </is>
      </c>
      <c r="K23" s="19" t="inlineStr">
        <is>
          <t>1B</t>
        </is>
      </c>
      <c r="Q23" s="19" t="inlineStr">
        <is>
          <t>SS</t>
        </is>
      </c>
      <c r="R23" s="20" t="inlineStr">
        <is>
          <t>Boo</t>
        </is>
      </c>
    </row>
    <row r="24" ht="15" customHeight="1">
      <c r="J24" s="17" t="inlineStr">
        <is>
          <t>Bowser</t>
        </is>
      </c>
      <c r="K24" s="19" t="inlineStr">
        <is>
          <t>SS</t>
        </is>
      </c>
      <c r="Q24" s="19" t="inlineStr">
        <is>
          <t>3B</t>
        </is>
      </c>
      <c r="R24" s="20" t="inlineStr">
        <is>
          <t>Boomerang Bro.</t>
        </is>
      </c>
    </row>
    <row r="25" ht="15" customHeight="1">
      <c r="J25" s="17" t="inlineStr">
        <is>
          <t>Yoshi</t>
        </is>
      </c>
      <c r="K25" s="19" t="inlineStr">
        <is>
          <t>2B</t>
        </is>
      </c>
      <c r="Q25" s="19" t="inlineStr">
        <is>
          <t>2B</t>
        </is>
      </c>
      <c r="R25" s="20" t="inlineStr">
        <is>
          <t>Baby Mario</t>
        </is>
      </c>
    </row>
    <row r="26" ht="15" customHeight="1">
      <c r="J26" s="17" t="inlineStr">
        <is>
          <t>Yellow Yoshi</t>
        </is>
      </c>
      <c r="K26" s="19" t="inlineStr">
        <is>
          <t>C</t>
        </is>
      </c>
      <c r="Q26" s="19" t="inlineStr">
        <is>
          <t>P</t>
        </is>
      </c>
      <c r="R26" s="20" t="inlineStr">
        <is>
          <t>Birdo</t>
        </is>
      </c>
    </row>
    <row r="27" ht="15" customHeight="1">
      <c r="J27" s="17" t="inlineStr">
        <is>
          <t>Blue Pianta</t>
        </is>
      </c>
      <c r="K27" s="19" t="inlineStr">
        <is>
          <t>RF</t>
        </is>
      </c>
      <c r="Q27" s="19" t="inlineStr">
        <is>
          <t>1B</t>
        </is>
      </c>
      <c r="R27" s="20" t="inlineStr">
        <is>
          <t>Baby Peach</t>
        </is>
      </c>
    </row>
    <row r="28" ht="15" customHeight="1">
      <c r="J28" s="17" t="inlineStr">
        <is>
          <t>Baby Daisy</t>
        </is>
      </c>
      <c r="K28" s="19" t="inlineStr">
        <is>
          <t>LF</t>
        </is>
      </c>
      <c r="Q28" s="19" t="inlineStr">
        <is>
          <t>RF</t>
        </is>
      </c>
      <c r="R28" s="20" t="inlineStr">
        <is>
          <t>Yellow Toad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Bowser Monsters</t>
        </is>
      </c>
      <c r="K31" t="n">
        <v>14</v>
      </c>
      <c r="L31" t="n">
        <v>4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2</v>
      </c>
      <c r="S31" t="n">
        <v>1</v>
      </c>
      <c r="T31" s="39" t="n">
        <v>24</v>
      </c>
    </row>
    <row r="32" ht="15" customHeight="1">
      <c r="J32" s="17" t="inlineStr">
        <is>
          <t>Jr. Rookies</t>
        </is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6</v>
      </c>
      <c r="Q32" t="n">
        <v>0</v>
      </c>
      <c r="R32" t="n">
        <v>0</v>
      </c>
      <c r="S32" t="n">
        <v>0</v>
      </c>
      <c r="T32" s="39" t="n">
        <v>10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Monsters</t>
        </is>
      </c>
      <c r="B2" s="26" t="inlineStr">
        <is>
          <t>Blooper</t>
        </is>
      </c>
      <c r="C2" s="30" t="inlineStr">
        <is>
          <t>3B</t>
        </is>
      </c>
      <c r="D2" t="n">
        <v>6</v>
      </c>
      <c r="E2" t="n">
        <v>6</v>
      </c>
      <c r="F2" s="1" t="n">
        <v>4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s="8" t="n">
        <v>0.6666666666666666</v>
      </c>
      <c r="Z2" s="8" t="n">
        <v>0.6666666666666666</v>
      </c>
      <c r="AA2" s="8" t="n">
        <v>1.166666666666667</v>
      </c>
      <c r="AB2" s="8" t="n">
        <v>1.833333333333333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4</v>
      </c>
      <c r="AI2" t="n">
        <v>0</v>
      </c>
      <c r="AJ2" t="n">
        <v>0</v>
      </c>
      <c r="AK2" t="n">
        <v>1</v>
      </c>
      <c r="AL2" t="n">
        <v>0</v>
      </c>
      <c r="AM2" s="5" t="n">
        <v>1</v>
      </c>
      <c r="AN2" t="n">
        <v>0</v>
      </c>
    </row>
    <row r="3" ht="12.75" customHeight="1">
      <c r="A3" s="41" t="n"/>
      <c r="B3" s="26" t="inlineStr">
        <is>
          <t>Blue Kritter</t>
        </is>
      </c>
      <c r="C3" s="30" t="inlineStr">
        <is>
          <t>CF</t>
        </is>
      </c>
      <c r="D3" t="n">
        <v>6</v>
      </c>
      <c r="E3" t="n">
        <v>6</v>
      </c>
      <c r="F3" t="n">
        <v>3</v>
      </c>
      <c r="G3" t="n">
        <v>3</v>
      </c>
      <c r="H3" t="n">
        <v>2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7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1.166666666666667</v>
      </c>
      <c r="AB3" s="8" t="n">
        <v>1.666666666666667</v>
      </c>
      <c r="AC3" s="8" t="n"/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1</v>
      </c>
      <c r="AN3" t="n">
        <v>0</v>
      </c>
    </row>
    <row r="4" ht="15.75" customHeight="1">
      <c r="A4" s="41" t="n"/>
      <c r="B4" s="26" t="inlineStr">
        <is>
          <t>Yellow Pianta</t>
        </is>
      </c>
      <c r="C4" s="30" t="inlineStr">
        <is>
          <t>P</t>
        </is>
      </c>
      <c r="D4" t="n">
        <v>5</v>
      </c>
      <c r="E4" t="n">
        <v>5</v>
      </c>
      <c r="F4" t="n">
        <v>4</v>
      </c>
      <c r="G4" t="n">
        <v>4</v>
      </c>
      <c r="H4" t="n">
        <v>7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3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13</v>
      </c>
      <c r="V4" t="n">
        <v>0</v>
      </c>
      <c r="W4" t="n">
        <v>0</v>
      </c>
      <c r="X4" t="n">
        <v>0</v>
      </c>
      <c r="Y4" s="8" t="n">
        <v>0.8</v>
      </c>
      <c r="Z4" s="8" t="n">
        <v>0.8</v>
      </c>
      <c r="AA4" s="8" t="n">
        <v>2.6</v>
      </c>
      <c r="AB4" s="8" t="n">
        <v>3.4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Blue Shy Guy</t>
        </is>
      </c>
      <c r="C5" s="30" t="inlineStr">
        <is>
          <t>1B</t>
        </is>
      </c>
      <c r="D5" t="n">
        <v>6</v>
      </c>
      <c r="E5" t="n">
        <v>6</v>
      </c>
      <c r="F5" t="n">
        <v>3</v>
      </c>
      <c r="G5" t="n">
        <v>4</v>
      </c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</v>
      </c>
      <c r="V5" t="n">
        <v>0</v>
      </c>
      <c r="W5" t="n">
        <v>2</v>
      </c>
      <c r="X5" t="n">
        <v>2</v>
      </c>
      <c r="Y5" s="8" t="n">
        <v>0.6666666666666666</v>
      </c>
      <c r="Z5" s="8" t="n">
        <v>0.6666666666666666</v>
      </c>
      <c r="AA5" s="8" t="n">
        <v>1.5</v>
      </c>
      <c r="AB5" s="8" t="n">
        <v>2.166666666666667</v>
      </c>
      <c r="AC5" s="8" t="n">
        <v>1.5</v>
      </c>
      <c r="AD5" t="n">
        <v>0</v>
      </c>
      <c r="AE5" t="n">
        <v>0</v>
      </c>
      <c r="AF5" t="n">
        <v>0</v>
      </c>
      <c r="AG5" t="n">
        <v>9</v>
      </c>
      <c r="AH5" t="n">
        <v>0</v>
      </c>
      <c r="AI5" t="n">
        <v>0</v>
      </c>
      <c r="AJ5" t="n">
        <v>0</v>
      </c>
      <c r="AK5" t="n">
        <v>3</v>
      </c>
      <c r="AL5" t="n">
        <v>0</v>
      </c>
      <c r="AM5" s="5" t="n">
        <v>0</v>
      </c>
      <c r="AN5" t="n">
        <v>3</v>
      </c>
    </row>
    <row r="6" ht="12.75" customHeight="1">
      <c r="A6" s="41" t="n"/>
      <c r="B6" s="26" t="inlineStr">
        <is>
          <t>Bowser</t>
        </is>
      </c>
      <c r="C6" s="30" t="inlineStr">
        <is>
          <t>SS</t>
        </is>
      </c>
      <c r="D6" t="n">
        <v>6</v>
      </c>
      <c r="E6" t="n">
        <v>6</v>
      </c>
      <c r="F6" t="n">
        <v>3</v>
      </c>
      <c r="G6" t="n">
        <v>3</v>
      </c>
      <c r="H6" t="n">
        <v>4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9</v>
      </c>
      <c r="V6" t="n">
        <v>0</v>
      </c>
      <c r="W6" t="n">
        <v>0</v>
      </c>
      <c r="X6" t="n">
        <v>0</v>
      </c>
      <c r="Y6" s="8" t="n">
        <v>0.5</v>
      </c>
      <c r="Z6" s="8" t="n">
        <v>0.5</v>
      </c>
      <c r="AA6" s="8" t="n">
        <v>1.5</v>
      </c>
      <c r="AB6" s="8" t="n">
        <v>2</v>
      </c>
      <c r="AC6" s="8" t="n"/>
      <c r="AD6" t="n">
        <v>0</v>
      </c>
      <c r="AE6" t="n">
        <v>0</v>
      </c>
      <c r="AF6" t="n">
        <v>0</v>
      </c>
      <c r="AG6" t="n">
        <v>4</v>
      </c>
      <c r="AH6" t="n">
        <v>6</v>
      </c>
      <c r="AI6" t="n">
        <v>0</v>
      </c>
      <c r="AJ6" t="n">
        <v>0</v>
      </c>
      <c r="AK6" t="n">
        <v>2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Yoshi</t>
        </is>
      </c>
      <c r="C7" s="30" t="inlineStr">
        <is>
          <t>2B</t>
        </is>
      </c>
      <c r="D7" t="n">
        <v>6</v>
      </c>
      <c r="E7" t="n">
        <v>6</v>
      </c>
      <c r="F7" t="n">
        <v>2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0.6666666666666666</v>
      </c>
      <c r="AB7" s="8" t="n">
        <v>1.166666666666667</v>
      </c>
      <c r="AC7" s="8" t="n"/>
      <c r="AD7" t="n">
        <v>0</v>
      </c>
      <c r="AE7" t="n">
        <v>0</v>
      </c>
      <c r="AF7" t="n">
        <v>0</v>
      </c>
      <c r="AG7" t="n">
        <v>6</v>
      </c>
      <c r="AH7" t="n">
        <v>5</v>
      </c>
      <c r="AI7" t="n">
        <v>0</v>
      </c>
      <c r="AJ7" t="n">
        <v>0</v>
      </c>
      <c r="AK7" t="n">
        <v>2</v>
      </c>
      <c r="AL7" t="n">
        <v>0</v>
      </c>
      <c r="AM7" s="5" t="n">
        <v>3</v>
      </c>
      <c r="AN7" t="n">
        <v>0</v>
      </c>
    </row>
    <row r="8" ht="12.75" customHeight="1">
      <c r="A8" s="41" t="n"/>
      <c r="B8" s="26" t="inlineStr">
        <is>
          <t>Yellow Yoshi</t>
        </is>
      </c>
      <c r="C8" s="30" t="inlineStr">
        <is>
          <t>C</t>
        </is>
      </c>
      <c r="D8" t="n">
        <v>6</v>
      </c>
      <c r="E8" t="n">
        <v>6</v>
      </c>
      <c r="F8" t="n">
        <v>1</v>
      </c>
      <c r="G8" t="n">
        <v>2</v>
      </c>
      <c r="H8" t="n">
        <v>3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5</v>
      </c>
      <c r="V8" t="n">
        <v>0</v>
      </c>
      <c r="W8" t="n">
        <v>1</v>
      </c>
      <c r="X8" t="n">
        <v>5</v>
      </c>
      <c r="Y8" s="8" t="n">
        <v>0.3333333333333333</v>
      </c>
      <c r="Z8" s="8" t="n">
        <v>0.3333333333333333</v>
      </c>
      <c r="AA8" s="8" t="n">
        <v>0.8333333333333334</v>
      </c>
      <c r="AB8" s="8" t="n">
        <v>1.166666666666667</v>
      </c>
      <c r="AC8" s="8" t="n">
        <v>0.2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1" t="n"/>
      <c r="B9" s="26" t="inlineStr">
        <is>
          <t>Blue Pianta</t>
        </is>
      </c>
      <c r="C9" s="30" t="inlineStr">
        <is>
          <t>RF</t>
        </is>
      </c>
      <c r="D9" t="n">
        <v>6</v>
      </c>
      <c r="E9" t="n">
        <v>6</v>
      </c>
      <c r="F9" t="n">
        <v>3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12</v>
      </c>
      <c r="V9" t="n">
        <v>0</v>
      </c>
      <c r="W9" t="n">
        <v>0</v>
      </c>
      <c r="X9" t="n">
        <v>0</v>
      </c>
      <c r="Y9" s="8" t="n">
        <v>0.5</v>
      </c>
      <c r="Z9" s="8" t="n">
        <v>0.5</v>
      </c>
      <c r="AA9" s="8" t="n">
        <v>2</v>
      </c>
      <c r="AB9" s="8" t="n">
        <v>2.5</v>
      </c>
      <c r="AC9" s="8" t="n"/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Baby Daisy</t>
        </is>
      </c>
      <c r="C10" s="30" t="inlineStr">
        <is>
          <t>LF</t>
        </is>
      </c>
      <c r="D10" t="n">
        <v>5</v>
      </c>
      <c r="E10" t="n">
        <v>5</v>
      </c>
      <c r="F10" t="n">
        <v>1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1</v>
      </c>
      <c r="X10" t="n">
        <v>1</v>
      </c>
      <c r="Y10" s="8" t="n">
        <v>0.4</v>
      </c>
      <c r="Z10" s="8" t="n">
        <v>0.4</v>
      </c>
      <c r="AA10" s="8" t="n">
        <v>1</v>
      </c>
      <c r="AB10" s="8" t="n">
        <v>1.4</v>
      </c>
      <c r="AC10" s="8" t="n">
        <v>1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1</v>
      </c>
    </row>
    <row r="11" ht="12.75" customHeight="1">
      <c r="A11" s="42" t="n"/>
      <c r="B11" s="27" t="inlineStr">
        <is>
          <t>Monsters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Rookies</t>
        </is>
      </c>
      <c r="B12" s="26" t="inlineStr">
        <is>
          <t>Bowser Jr.</t>
        </is>
      </c>
      <c r="C12" s="30" t="inlineStr">
        <is>
          <t>LF, RF</t>
        </is>
      </c>
      <c r="D12" t="n">
        <v>5</v>
      </c>
      <c r="E12" t="n">
        <v>5</v>
      </c>
      <c r="F12" t="n">
        <v>2</v>
      </c>
      <c r="G12" t="n">
        <v>3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2</v>
      </c>
      <c r="X12" t="n">
        <v>4</v>
      </c>
      <c r="Y12" s="8" t="n">
        <v>0.6</v>
      </c>
      <c r="Z12" s="8" t="n">
        <v>0.6</v>
      </c>
      <c r="AA12" s="8" t="n">
        <v>1.2</v>
      </c>
      <c r="AB12" s="8" t="n">
        <v>1.8</v>
      </c>
      <c r="AC12" s="8" t="n">
        <v>1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4</v>
      </c>
    </row>
    <row r="13" ht="12.75" customHeight="1">
      <c r="A13" s="41" t="n"/>
      <c r="B13" s="26" t="inlineStr">
        <is>
          <t>Blue Dry Bones</t>
        </is>
      </c>
      <c r="C13" s="30" t="inlineStr">
        <is>
          <t>C</t>
        </is>
      </c>
      <c r="D13" t="n">
        <v>5</v>
      </c>
      <c r="E13" t="n">
        <v>5</v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</v>
      </c>
      <c r="V13" t="n">
        <v>0</v>
      </c>
      <c r="W13" t="n">
        <v>0</v>
      </c>
      <c r="X13" t="n">
        <v>1</v>
      </c>
      <c r="Y13" s="8" t="n">
        <v>0.4</v>
      </c>
      <c r="Z13" s="8" t="n">
        <v>0.4</v>
      </c>
      <c r="AA13" s="8" t="n">
        <v>1.6</v>
      </c>
      <c r="AB13" s="8" t="n">
        <v>2</v>
      </c>
      <c r="AC13" s="8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Blue Toad</t>
        </is>
      </c>
      <c r="C14" s="30" t="inlineStr">
        <is>
          <t>CF, 3B</t>
        </is>
      </c>
      <c r="D14" t="n">
        <v>4</v>
      </c>
      <c r="E14" t="n">
        <v>4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2</v>
      </c>
      <c r="X14" t="n">
        <v>5</v>
      </c>
      <c r="Y14" s="8" t="n">
        <v>0.5</v>
      </c>
      <c r="Z14" s="8" t="n">
        <v>0.5</v>
      </c>
      <c r="AA14" s="8" t="n">
        <v>0.5</v>
      </c>
      <c r="AB14" s="8" t="n">
        <v>1</v>
      </c>
      <c r="AC14" s="8" t="n">
        <v>0.4</v>
      </c>
      <c r="AD14" t="n">
        <v>0</v>
      </c>
      <c r="AE14" t="n">
        <v>0</v>
      </c>
      <c r="AF14" t="n">
        <v>0</v>
      </c>
      <c r="AG14" t="n">
        <v>0</v>
      </c>
      <c r="AH14" t="n">
        <v>4</v>
      </c>
      <c r="AI14" t="n">
        <v>0</v>
      </c>
      <c r="AJ14" t="n">
        <v>0</v>
      </c>
      <c r="AK14" t="n">
        <v>1</v>
      </c>
      <c r="AL14" t="n">
        <v>0</v>
      </c>
      <c r="AM14" s="5" t="n">
        <v>0</v>
      </c>
      <c r="AN14" t="n">
        <v>2</v>
      </c>
    </row>
    <row r="15" ht="12.75" customHeight="1">
      <c r="A15" s="41" t="n"/>
      <c r="B15" s="26" t="inlineStr">
        <is>
          <t>Boo</t>
        </is>
      </c>
      <c r="C15" s="30" t="inlineStr">
        <is>
          <t>SS, P</t>
        </is>
      </c>
      <c r="D15" t="n">
        <v>5</v>
      </c>
      <c r="E15" t="n">
        <v>5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3</v>
      </c>
      <c r="Y15" s="8" t="n">
        <v>0.2</v>
      </c>
      <c r="Z15" s="8" t="n">
        <v>0.2</v>
      </c>
      <c r="AA15" s="8" t="n">
        <v>0.2</v>
      </c>
      <c r="AB15" s="8" t="n">
        <v>0.4</v>
      </c>
      <c r="AC15" s="8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Boomerang Bro.</t>
        </is>
      </c>
      <c r="C16" s="30" t="inlineStr">
        <is>
          <t>3B, CF</t>
        </is>
      </c>
      <c r="D16" t="n">
        <v>5</v>
      </c>
      <c r="E16" t="n">
        <v>5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3</v>
      </c>
      <c r="Y16" s="8" t="n">
        <v>0.2</v>
      </c>
      <c r="Z16" s="8" t="n">
        <v>0.2</v>
      </c>
      <c r="AA16" s="8" t="n">
        <v>0.4</v>
      </c>
      <c r="AB16" s="8" t="n">
        <v>0.6000000000000001</v>
      </c>
      <c r="AC16" s="8" t="n">
        <v>0.6666666666666666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s="5" t="n">
        <v>0</v>
      </c>
      <c r="AN16" t="n">
        <v>2</v>
      </c>
    </row>
    <row r="17" ht="12.75" customHeight="1">
      <c r="A17" s="41" t="n"/>
      <c r="B17" s="26" t="inlineStr">
        <is>
          <t>Baby Mario</t>
        </is>
      </c>
      <c r="C17" s="30" t="inlineStr">
        <is>
          <t>2B, P, SS</t>
        </is>
      </c>
      <c r="D17" t="n">
        <v>4</v>
      </c>
      <c r="E17" t="n">
        <v>4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2</v>
      </c>
      <c r="X17" t="n">
        <v>7</v>
      </c>
      <c r="Y17" s="8" t="n">
        <v>0.5</v>
      </c>
      <c r="Z17" s="8" t="n">
        <v>0.5</v>
      </c>
      <c r="AA17" s="8" t="n">
        <v>0.5</v>
      </c>
      <c r="AB17" s="8" t="n">
        <v>1</v>
      </c>
      <c r="AC17" s="8" t="n">
        <v>0.2857142857142857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2</v>
      </c>
    </row>
    <row r="18" ht="12.75" customHeight="1">
      <c r="A18" s="41" t="n"/>
      <c r="B18" s="26" t="inlineStr">
        <is>
          <t>Birdo</t>
        </is>
      </c>
      <c r="C18" s="30" t="inlineStr">
        <is>
          <t>P, 2B</t>
        </is>
      </c>
      <c r="D18" t="n">
        <v>4</v>
      </c>
      <c r="E18" t="n">
        <v>4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2</v>
      </c>
      <c r="X18" t="n">
        <v>7</v>
      </c>
      <c r="Y18" s="8" t="n">
        <v>0.5</v>
      </c>
      <c r="Z18" s="8" t="n">
        <v>0.5</v>
      </c>
      <c r="AA18" s="8" t="n">
        <v>0.5</v>
      </c>
      <c r="AB18" s="8" t="n">
        <v>1</v>
      </c>
      <c r="AC18" s="8" t="n">
        <v>0.2857142857142857</v>
      </c>
      <c r="AD18" t="n">
        <v>0</v>
      </c>
      <c r="AE18" t="n">
        <v>0</v>
      </c>
      <c r="AF18" t="n">
        <v>0</v>
      </c>
      <c r="AG18" t="n">
        <v>3</v>
      </c>
      <c r="AH18" t="n">
        <v>4</v>
      </c>
      <c r="AI18" t="n">
        <v>0</v>
      </c>
      <c r="AJ18" t="n">
        <v>0</v>
      </c>
      <c r="AK18" t="n">
        <v>2</v>
      </c>
      <c r="AL18" t="n">
        <v>0</v>
      </c>
      <c r="AM18" s="5" t="n">
        <v>3</v>
      </c>
      <c r="AN18" t="n">
        <v>2</v>
      </c>
    </row>
    <row r="19" ht="12.75" customHeight="1">
      <c r="A19" s="41" t="n"/>
      <c r="B19" s="26" t="inlineStr">
        <is>
          <t>Baby Peach</t>
        </is>
      </c>
      <c r="C19" s="30" t="inlineStr">
        <is>
          <t>1B, LF</t>
        </is>
      </c>
      <c r="D19" t="n">
        <v>3</v>
      </c>
      <c r="E19" t="n">
        <v>3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</v>
      </c>
      <c r="Y19" s="8" t="n">
        <v>0.3333333333333333</v>
      </c>
      <c r="Z19" s="8" t="n">
        <v>0.3333333333333333</v>
      </c>
      <c r="AA19" s="8" t="n">
        <v>0.3333333333333333</v>
      </c>
      <c r="AB19" s="8" t="n">
        <v>0.6666666666666666</v>
      </c>
      <c r="AC19" s="8" t="n">
        <v>0.5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1</v>
      </c>
    </row>
    <row r="20" ht="12.75" customHeight="1">
      <c r="A20" s="41" t="n"/>
      <c r="B20" s="26" t="inlineStr">
        <is>
          <t>Yellow Toad</t>
        </is>
      </c>
      <c r="C20" s="30" t="inlineStr">
        <is>
          <t>RF, 1B</t>
        </is>
      </c>
      <c r="D20" t="n">
        <v>3</v>
      </c>
      <c r="E20" t="n">
        <v>3</v>
      </c>
      <c r="F20" t="n">
        <v>1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0</v>
      </c>
      <c r="W20" t="n">
        <v>2</v>
      </c>
      <c r="X20" t="n">
        <v>3</v>
      </c>
      <c r="Y20" s="8" t="n">
        <v>0.6666666666666666</v>
      </c>
      <c r="Z20" s="8" t="n">
        <v>0.6666666666666666</v>
      </c>
      <c r="AA20" s="8" t="n">
        <v>1</v>
      </c>
      <c r="AB20" s="8" t="n">
        <v>1.666666666666667</v>
      </c>
      <c r="AC20" s="8" t="n">
        <v>1</v>
      </c>
      <c r="AD20" t="n">
        <v>0</v>
      </c>
      <c r="AE20" t="n">
        <v>0</v>
      </c>
      <c r="AF20" t="n">
        <v>0</v>
      </c>
      <c r="AG20" t="n">
        <v>11</v>
      </c>
      <c r="AH20" t="n">
        <v>0</v>
      </c>
      <c r="AI20" t="n">
        <v>0</v>
      </c>
      <c r="AJ20" t="n">
        <v>0</v>
      </c>
      <c r="AK20" t="n">
        <v>2</v>
      </c>
      <c r="AL20" t="n">
        <v>0</v>
      </c>
      <c r="AM20" s="5" t="n">
        <v>2</v>
      </c>
      <c r="AN20" t="n">
        <v>3</v>
      </c>
    </row>
    <row r="21" ht="12.75" customHeight="1">
      <c r="A21" s="45" t="n"/>
      <c r="B21" s="28" t="inlineStr">
        <is>
          <t>Rookies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Yellow Pianta</t>
        </is>
      </c>
      <c r="B2" t="inlineStr">
        <is>
          <t>Monsters</t>
        </is>
      </c>
      <c r="C2" s="22" t="n">
        <v>38</v>
      </c>
      <c r="D2" s="11" t="n">
        <v>9</v>
      </c>
      <c r="E2" t="n">
        <v>49</v>
      </c>
      <c r="F2" t="n">
        <v>7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10</v>
      </c>
      <c r="M2" t="n">
        <v>9</v>
      </c>
      <c r="N2" t="n">
        <v>5</v>
      </c>
      <c r="O2" t="n">
        <v>0</v>
      </c>
      <c r="P2" t="n">
        <v>2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7.777777777777778</v>
      </c>
      <c r="X2" s="8" t="n">
        <v>10</v>
      </c>
      <c r="Y2" s="8" t="n">
        <v>1.777777777777778</v>
      </c>
      <c r="Z2" s="8" t="n">
        <v>0.4210526315789473</v>
      </c>
      <c r="AA2" s="8" t="n">
        <v>0.4210526315789473</v>
      </c>
      <c r="AB2" s="8" t="n">
        <v>0.7105263157894737</v>
      </c>
      <c r="AC2" s="8" t="n">
        <v>1.131578947368421</v>
      </c>
      <c r="AD2" t="n">
        <v>38</v>
      </c>
      <c r="AE2" t="n">
        <v>27</v>
      </c>
    </row>
    <row r="3" ht="12.75" customHeight="1">
      <c r="A3" s="7" t="inlineStr">
        <is>
          <t>Birdo</t>
        </is>
      </c>
      <c r="B3" t="inlineStr">
        <is>
          <t>Rookies</t>
        </is>
      </c>
      <c r="C3" s="22" t="n">
        <v>16</v>
      </c>
      <c r="D3" s="11" t="n">
        <v>0.6666666666666666</v>
      </c>
      <c r="E3" t="n">
        <v>22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14</v>
      </c>
      <c r="M3" t="n">
        <v>5</v>
      </c>
      <c r="N3" t="n">
        <v>2</v>
      </c>
      <c r="O3" t="n">
        <v>0</v>
      </c>
      <c r="P3" t="n">
        <v>7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147</v>
      </c>
      <c r="X3" s="8" t="n">
        <v>189</v>
      </c>
      <c r="Y3" s="8" t="n">
        <v>21</v>
      </c>
      <c r="Z3" s="8" t="n">
        <v>0.875</v>
      </c>
      <c r="AA3" s="8" t="n">
        <v>0.875</v>
      </c>
      <c r="AB3" s="8" t="n">
        <v>2.3125</v>
      </c>
      <c r="AC3" s="8" t="n">
        <v>3.1875</v>
      </c>
      <c r="AD3" t="n">
        <v>16</v>
      </c>
      <c r="AE3" t="n">
        <v>37</v>
      </c>
    </row>
    <row r="4" ht="12.75" customHeight="1">
      <c r="A4" s="7" t="inlineStr">
        <is>
          <t>Baby Mario</t>
        </is>
      </c>
      <c r="B4" t="inlineStr">
        <is>
          <t>Rookies</t>
        </is>
      </c>
      <c r="C4" s="22" t="n">
        <v>6</v>
      </c>
      <c r="D4" s="11" t="n">
        <v>0.6666666666666666</v>
      </c>
      <c r="E4" t="n">
        <v>10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1</v>
      </c>
      <c r="N4" t="n">
        <v>1</v>
      </c>
      <c r="O4" t="n">
        <v>0</v>
      </c>
      <c r="P4" t="n">
        <v>2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42</v>
      </c>
      <c r="X4" s="8" t="n">
        <v>54</v>
      </c>
      <c r="Y4" s="8" t="n">
        <v>6</v>
      </c>
      <c r="Z4" s="8" t="n">
        <v>0.6666666666666666</v>
      </c>
      <c r="AA4" s="8" t="n">
        <v>0.6666666666666666</v>
      </c>
      <c r="AB4" s="8" t="n">
        <v>1.833333333333333</v>
      </c>
      <c r="AC4" s="8" t="n">
        <v>2.5</v>
      </c>
      <c r="AD4" t="n">
        <v>6</v>
      </c>
      <c r="AE4" t="n">
        <v>11</v>
      </c>
    </row>
    <row r="5" ht="12.75" customHeight="1">
      <c r="A5" s="7" t="inlineStr">
        <is>
          <t>Boo</t>
        </is>
      </c>
      <c r="B5" t="inlineStr">
        <is>
          <t>Rookies</t>
        </is>
      </c>
      <c r="C5" s="22" t="n">
        <v>30</v>
      </c>
      <c r="D5" s="11" t="n">
        <v>7.666666666666667</v>
      </c>
      <c r="E5" t="n">
        <v>39</v>
      </c>
      <c r="F5" t="n">
        <v>5</v>
      </c>
      <c r="G5" t="n">
        <v>0</v>
      </c>
      <c r="H5" t="n">
        <v>1</v>
      </c>
      <c r="I5" t="n">
        <v>0</v>
      </c>
      <c r="J5" t="n">
        <v>0</v>
      </c>
      <c r="K5" t="n">
        <v>10</v>
      </c>
      <c r="L5" t="n">
        <v>6</v>
      </c>
      <c r="M5" t="n">
        <v>5</v>
      </c>
      <c r="N5" t="n">
        <v>1</v>
      </c>
      <c r="O5" t="n">
        <v>0</v>
      </c>
      <c r="P5" t="n">
        <v>4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s="12" t="n">
        <v>5.478260869565217</v>
      </c>
      <c r="X5" s="8" t="n">
        <v>7.043478260869565</v>
      </c>
      <c r="Y5" s="8" t="n">
        <v>1.304347826086957</v>
      </c>
      <c r="Z5" s="8" t="n">
        <v>0.3333333333333333</v>
      </c>
      <c r="AA5" s="8" t="n">
        <v>0.3333333333333333</v>
      </c>
      <c r="AB5" s="8" t="n">
        <v>0.7666666666666667</v>
      </c>
      <c r="AC5" s="8" t="n">
        <v>1.1</v>
      </c>
      <c r="AD5" t="n">
        <v>30</v>
      </c>
      <c r="AE5" t="n">
        <v>23</v>
      </c>
    </row>
    <row r="6" ht="12.75" customHeight="1">
      <c r="A6" s="47" t="inlineStr">
        <is>
          <t>Monsters Totals</t>
        </is>
      </c>
      <c r="B6" s="43" t="inlineStr">
        <is>
          <t>Monsters</t>
        </is>
      </c>
      <c r="C6" s="48">
        <f>SUM(C2:C2)</f>
        <v/>
      </c>
      <c r="D6" s="49">
        <f>SUM(D2:D2)</f>
        <v/>
      </c>
      <c r="E6" s="43">
        <f>SUM(E2:E2)</f>
        <v/>
      </c>
      <c r="F6" s="43">
        <f>SUM(F2:F2)</f>
        <v/>
      </c>
      <c r="G6" s="43">
        <f>SUM(G2:G2)</f>
        <v/>
      </c>
      <c r="H6" s="43">
        <f>SUM(H2:H2)</f>
        <v/>
      </c>
      <c r="I6" s="43">
        <f>SUM(I2:I2)</f>
        <v/>
      </c>
      <c r="J6" s="43">
        <f>SUM(J2:J2)</f>
        <v/>
      </c>
      <c r="K6" s="43">
        <f>SUM(K2:K2)</f>
        <v/>
      </c>
      <c r="L6" s="43">
        <f>SUM(L2:L2)</f>
        <v/>
      </c>
      <c r="M6" s="43">
        <f>SUM(M2:M2)</f>
        <v/>
      </c>
      <c r="N6" s="43">
        <f>SUM(N2:N2)</f>
        <v/>
      </c>
      <c r="O6" s="43">
        <f>SUM(O2:O2)</f>
        <v/>
      </c>
      <c r="P6" s="43">
        <f>SUM(P2:P2)</f>
        <v/>
      </c>
      <c r="Q6" s="43">
        <f>SUM(Q2:Q2)</f>
        <v/>
      </c>
      <c r="R6" s="43">
        <f>SUM(R2:R2)</f>
        <v/>
      </c>
      <c r="S6" s="43">
        <f>SUM(S2:S2)</f>
        <v/>
      </c>
      <c r="T6" s="43">
        <f>SUM(T2:T2)</f>
        <v/>
      </c>
      <c r="U6" s="43">
        <f>SUM(U2:U2)</f>
        <v/>
      </c>
      <c r="V6" s="43">
        <f>SUM(V2:V2)</f>
        <v/>
      </c>
      <c r="W6" s="50">
        <f>IF(D6=0,"INF",Q6*7/D6)</f>
        <v/>
      </c>
      <c r="X6" s="50">
        <f>IF(D6=0,"INF",Q6*9/D6)</f>
        <v/>
      </c>
      <c r="Y6" s="50">
        <f>IF(D6=0,"INF",(I6+K6)/D6)</f>
        <v/>
      </c>
      <c r="Z6" s="50">
        <f>IF(SUM(AD2:AD2)=0,0,SUM(K2:K2)/SUM(AD2:AD2))</f>
        <v/>
      </c>
      <c r="AA6" s="50">
        <f>IF(SUM(C2:C2)=0,0,(SUM(K2:K2)+SUM(I2:I2)+SUM(J2:J2))/SUM(C2:C2))</f>
        <v/>
      </c>
      <c r="AB6" s="50">
        <f>IF(SUM(AD2:AD2)=0,0,SUM(AE2:AE2)/SUM(AD2:AD2))</f>
        <v/>
      </c>
      <c r="AC6" s="50">
        <f>AA6+AB6</f>
        <v/>
      </c>
      <c r="AD6" s="43" t="n"/>
      <c r="AE6" s="43" t="n"/>
    </row>
    <row r="7" ht="12.75" customHeight="1">
      <c r="A7" s="51" t="inlineStr">
        <is>
          <t>Rookies Totals</t>
        </is>
      </c>
      <c r="B7" s="46" t="inlineStr">
        <is>
          <t>Rookies</t>
        </is>
      </c>
      <c r="C7" s="52">
        <f>SUM(C3:C5)</f>
        <v/>
      </c>
      <c r="D7" s="53">
        <f>SUM(D3:D5)</f>
        <v/>
      </c>
      <c r="E7" s="46">
        <f>SUM(E3:E5)</f>
        <v/>
      </c>
      <c r="F7" s="46">
        <f>SUM(F3:F5)</f>
        <v/>
      </c>
      <c r="G7" s="46">
        <f>SUM(G3:G5)</f>
        <v/>
      </c>
      <c r="H7" s="46">
        <f>SUM(H3:H5)</f>
        <v/>
      </c>
      <c r="I7" s="46">
        <f>SUM(I3:I5)</f>
        <v/>
      </c>
      <c r="J7" s="46">
        <f>SUM(J3:J5)</f>
        <v/>
      </c>
      <c r="K7" s="46">
        <f>SUM(K3:K5)</f>
        <v/>
      </c>
      <c r="L7" s="46">
        <f>SUM(L3:L5)</f>
        <v/>
      </c>
      <c r="M7" s="46">
        <f>SUM(M3:M5)</f>
        <v/>
      </c>
      <c r="N7" s="46">
        <f>SUM(N3:N5)</f>
        <v/>
      </c>
      <c r="O7" s="46">
        <f>SUM(O3:O5)</f>
        <v/>
      </c>
      <c r="P7" s="46">
        <f>SUM(P3:P5)</f>
        <v/>
      </c>
      <c r="Q7" s="46">
        <f>SUM(Q3:Q5)</f>
        <v/>
      </c>
      <c r="R7" s="46">
        <f>SUM(R3:R5)</f>
        <v/>
      </c>
      <c r="S7" s="46">
        <f>SUM(S3:S5)</f>
        <v/>
      </c>
      <c r="T7" s="46">
        <f>SUM(T3:T5)</f>
        <v/>
      </c>
      <c r="U7" s="46">
        <f>SUM(U3:U5)</f>
        <v/>
      </c>
      <c r="V7" s="46">
        <f>SUM(V3:V5)</f>
        <v/>
      </c>
      <c r="W7" s="54">
        <f>IF(D7=0,"INF",Q7*7/D7)</f>
        <v/>
      </c>
      <c r="X7" s="54">
        <f>IF(D7=0,"INF",Q7*9/D7)</f>
        <v/>
      </c>
      <c r="Y7" s="54">
        <f>IF(D7=0,"INF",(I7+K7)/D7)</f>
        <v/>
      </c>
      <c r="Z7" s="54">
        <f>IF(SUM(AD3:AD5)=0,0,SUM(K3:K5)/SUM(AD3:AD5))</f>
        <v/>
      </c>
      <c r="AA7" s="54">
        <f>IF(SUM(C3:C5)=0,0,(SUM(K3:K5)+SUM(I3:I5)+SUM(J3:J5))/SUM(C3:C5))</f>
        <v/>
      </c>
      <c r="AB7" s="54">
        <f>IF(SUM(AD3:AD5)=0,0,SUM(AE3:AE5)/SUM(AD3:AD5))</f>
        <v/>
      </c>
      <c r="AC7" s="54">
        <f>AA7+AB7</f>
        <v/>
      </c>
      <c r="AD7" s="46" t="n"/>
      <c r="AE7" s="46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2026-09-12T15:38:53Z</dcterms:modified>
</cp:coreProperties>
</file>