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Waluigi Spitballs</t>
        </is>
      </c>
      <c r="N11" s="16" t="inlineStr">
        <is>
          <t>VS</t>
        </is>
      </c>
      <c r="P11" s="13" t="inlineStr">
        <is>
          <t>Daisy Flowers</t>
        </is>
      </c>
    </row>
    <row r="12" ht="40.5" customHeight="1">
      <c r="I12" s="33" t="n">
        <v>3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Bowser Jr. Playroom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Waluigi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Daisy</t>
        </is>
      </c>
    </row>
    <row r="21" ht="15" customHeight="1">
      <c r="J21" s="17" t="inlineStr">
        <is>
          <t>Donkey Kong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Petey Piranha</t>
        </is>
      </c>
    </row>
    <row r="22" ht="15" customHeight="1">
      <c r="J22" s="17" t="inlineStr">
        <is>
          <t>Bowser Jr.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Red Kritter</t>
        </is>
      </c>
    </row>
    <row r="23" ht="15" customHeight="1">
      <c r="J23" s="17" t="inlineStr">
        <is>
          <t>King Boo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Birdo</t>
        </is>
      </c>
    </row>
    <row r="24" ht="15" customHeight="1">
      <c r="J24" s="17" t="inlineStr">
        <is>
          <t>Brown Kritter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Boomerang Bro.</t>
        </is>
      </c>
    </row>
    <row r="25" ht="15" customHeight="1">
      <c r="J25" s="17" t="inlineStr">
        <is>
          <t>Purple Toad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Blue Toad</t>
        </is>
      </c>
    </row>
    <row r="26" ht="15" customHeight="1">
      <c r="J26" s="17" t="inlineStr">
        <is>
          <t>Koopa Troopa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Red Koopa Troopa</t>
        </is>
      </c>
    </row>
    <row r="27" ht="15" customHeight="1">
      <c r="J27" s="17" t="inlineStr">
        <is>
          <t>Green Noki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Yellow Yoshi</t>
        </is>
      </c>
    </row>
    <row r="28" ht="15" customHeight="1">
      <c r="J28" s="17" t="inlineStr">
        <is>
          <t>Gray Shy Guy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Pink Yoshi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Waluigi Spitballs</t>
        </is>
      </c>
      <c r="K31" t="n">
        <v>1</v>
      </c>
      <c r="L31" t="n">
        <v>1</v>
      </c>
      <c r="M31" t="n">
        <v>1</v>
      </c>
      <c r="N31" s="39" t="n">
        <v>3</v>
      </c>
    </row>
    <row r="32" ht="15" customHeight="1">
      <c r="J32" s="17" t="inlineStr">
        <is>
          <t>Daisy Flowers</t>
        </is>
      </c>
      <c r="K32" t="n">
        <v>0</v>
      </c>
      <c r="L32" t="n">
        <v>0</v>
      </c>
      <c r="M32" t="n">
        <v>0</v>
      </c>
      <c r="N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Spitballs</t>
        </is>
      </c>
      <c r="B2" s="26" t="inlineStr">
        <is>
          <t>Waluigi</t>
        </is>
      </c>
      <c r="C2" s="30" t="inlineStr">
        <is>
          <t>P, C</t>
        </is>
      </c>
      <c r="D2" t="n">
        <v>2</v>
      </c>
      <c r="E2" t="n">
        <v>2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Donkey Kong</t>
        </is>
      </c>
      <c r="C3" s="30" t="inlineStr">
        <is>
          <t>C, P</t>
        </is>
      </c>
      <c r="D3" t="n">
        <v>2</v>
      </c>
      <c r="E3" t="n">
        <v>2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2</v>
      </c>
      <c r="AB3" s="8" t="n">
        <v>2.5</v>
      </c>
      <c r="AC3" s="8" t="n"/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Bowser Jr.</t>
        </is>
      </c>
      <c r="C4" s="30" t="inlineStr">
        <is>
          <t>1B</t>
        </is>
      </c>
      <c r="D4" t="n">
        <v>2</v>
      </c>
      <c r="E4" t="n">
        <v>2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s="8" t="n">
        <v>0.5</v>
      </c>
      <c r="Z4" s="8" t="n">
        <v>0.5</v>
      </c>
      <c r="AA4" s="8" t="n">
        <v>0.5</v>
      </c>
      <c r="AB4" s="8" t="n">
        <v>1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King Boo</t>
        </is>
      </c>
      <c r="C5" s="30" t="inlineStr">
        <is>
          <t>2B</t>
        </is>
      </c>
      <c r="D5" t="n">
        <v>2</v>
      </c>
      <c r="E5" t="n">
        <v>2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s="8" t="n">
        <v>0.5</v>
      </c>
      <c r="Z5" s="8" t="n">
        <v>0.5</v>
      </c>
      <c r="AA5" s="8" t="n">
        <v>0.5</v>
      </c>
      <c r="AB5" s="8" t="n">
        <v>1</v>
      </c>
      <c r="AC5" s="8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Brown Kritter</t>
        </is>
      </c>
      <c r="C6" s="30" t="inlineStr">
        <is>
          <t>3B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Purple Toad</t>
        </is>
      </c>
      <c r="C7" s="30" t="inlineStr">
        <is>
          <t>SS</t>
        </is>
      </c>
      <c r="D7" t="n">
        <v>2</v>
      </c>
      <c r="E7" t="n">
        <v>2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s="8" t="n">
        <v>0.5</v>
      </c>
      <c r="Z7" s="8" t="n">
        <v>0.5</v>
      </c>
      <c r="AA7" s="8" t="n">
        <v>0.5</v>
      </c>
      <c r="AB7" s="8" t="n">
        <v>1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Koopa Troopa</t>
        </is>
      </c>
      <c r="C8" s="30" t="inlineStr">
        <is>
          <t>LF</t>
        </is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s="8" t="n">
        <v>1</v>
      </c>
      <c r="Z8" s="8" t="n">
        <v>1</v>
      </c>
      <c r="AA8" s="8" t="n">
        <v>1</v>
      </c>
      <c r="AB8" s="8" t="n">
        <v>2</v>
      </c>
      <c r="AC8" s="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1</v>
      </c>
    </row>
    <row r="9" ht="12.75" customHeight="1">
      <c r="A9" s="41" t="n"/>
      <c r="B9" s="26" t="inlineStr">
        <is>
          <t>Green Noki</t>
        </is>
      </c>
      <c r="C9" s="30" t="inlineStr">
        <is>
          <t>CF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Gray Shy Guy</t>
        </is>
      </c>
      <c r="C10" s="30" t="inlineStr">
        <is>
          <t>RF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Spitballs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Flowers</t>
        </is>
      </c>
      <c r="B12" s="26" t="inlineStr">
        <is>
          <t>Daisy</t>
        </is>
      </c>
      <c r="C12" s="30" t="inlineStr">
        <is>
          <t>P, RF</t>
        </is>
      </c>
      <c r="D12" t="n">
        <v>2</v>
      </c>
      <c r="E12" t="n">
        <v>2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1</v>
      </c>
      <c r="X12" t="n">
        <v>1</v>
      </c>
      <c r="Y12" s="8" t="n">
        <v>0.5</v>
      </c>
      <c r="Z12" s="8" t="n">
        <v>0.5</v>
      </c>
      <c r="AA12" s="8" t="n">
        <v>1</v>
      </c>
      <c r="AB12" s="8" t="n">
        <v>1.5</v>
      </c>
      <c r="AC12" s="8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2</v>
      </c>
    </row>
    <row r="13" ht="12.75" customHeight="1">
      <c r="A13" s="41" t="n"/>
      <c r="B13" s="26" t="inlineStr">
        <is>
          <t>Petey Piranha</t>
        </is>
      </c>
      <c r="C13" s="30" t="inlineStr">
        <is>
          <t>C</t>
        </is>
      </c>
      <c r="D13" t="n">
        <v>2</v>
      </c>
      <c r="E13" t="n">
        <v>2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s="8" t="n">
        <v>0.5</v>
      </c>
      <c r="Z13" s="8" t="n">
        <v>0.5</v>
      </c>
      <c r="AA13" s="8" t="n">
        <v>0.5</v>
      </c>
      <c r="AB13" s="8" t="n">
        <v>1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Red Kritter</t>
        </is>
      </c>
      <c r="C14" s="30" t="inlineStr">
        <is>
          <t>1B</t>
        </is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Birdo</t>
        </is>
      </c>
      <c r="C15" s="30" t="inlineStr">
        <is>
          <t>2B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5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Boomerang Bro.</t>
        </is>
      </c>
      <c r="C16" s="30" t="inlineStr">
        <is>
          <t>3B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Blue Toad</t>
        </is>
      </c>
      <c r="C17" s="30" t="inlineStr">
        <is>
          <t>SS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2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Red Koopa Troopa</t>
        </is>
      </c>
      <c r="C18" s="30" t="inlineStr">
        <is>
          <t>LF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Yellow Yoshi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Pink Yoshi</t>
        </is>
      </c>
      <c r="C20" s="30" t="inlineStr">
        <is>
          <t>RF, P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Flowers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Waluigi</t>
        </is>
      </c>
      <c r="B2" t="inlineStr">
        <is>
          <t>Spitballs</t>
        </is>
      </c>
      <c r="C2" s="22" t="n">
        <v>8</v>
      </c>
      <c r="D2" s="11" t="n">
        <v>2</v>
      </c>
      <c r="E2" t="n">
        <v>19</v>
      </c>
      <c r="F2" t="n">
        <v>15</v>
      </c>
      <c r="G2" t="n">
        <v>0</v>
      </c>
      <c r="H2" t="n">
        <v>3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0.5</v>
      </c>
      <c r="Z2" s="8" t="n">
        <v>0.125</v>
      </c>
      <c r="AA2" s="8" t="n">
        <v>0.125</v>
      </c>
      <c r="AB2" s="8" t="n">
        <v>0.125</v>
      </c>
      <c r="AC2" s="8" t="n">
        <v>0.25</v>
      </c>
      <c r="AD2" t="n">
        <v>8</v>
      </c>
      <c r="AE2" t="n">
        <v>1</v>
      </c>
    </row>
    <row r="3" ht="12.75" customHeight="1">
      <c r="A3" s="7" t="inlineStr">
        <is>
          <t>Donkey Kong</t>
        </is>
      </c>
      <c r="B3" t="inlineStr">
        <is>
          <t>Spitballs</t>
        </is>
      </c>
      <c r="C3" s="22" t="n">
        <v>4</v>
      </c>
      <c r="D3" s="11" t="n">
        <v>1</v>
      </c>
      <c r="E3" t="n">
        <v>6</v>
      </c>
      <c r="F3" t="n">
        <v>3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1</v>
      </c>
      <c r="Z3" s="8" t="n">
        <v>0.25</v>
      </c>
      <c r="AA3" s="8" t="n">
        <v>0.25</v>
      </c>
      <c r="AB3" s="8" t="n">
        <v>0.5</v>
      </c>
      <c r="AC3" s="8" t="n">
        <v>0.75</v>
      </c>
      <c r="AD3" t="n">
        <v>4</v>
      </c>
      <c r="AE3" t="n">
        <v>2</v>
      </c>
    </row>
    <row r="4" ht="12.75" customHeight="1">
      <c r="A4" s="7" t="inlineStr">
        <is>
          <t>Daisy</t>
        </is>
      </c>
      <c r="B4" t="inlineStr">
        <is>
          <t>Flowers</t>
        </is>
      </c>
      <c r="C4" s="22" t="n">
        <v>10</v>
      </c>
      <c r="D4" s="11" t="n">
        <v>2</v>
      </c>
      <c r="E4" t="n">
        <v>16</v>
      </c>
      <c r="F4" t="n">
        <v>4</v>
      </c>
      <c r="G4" t="n">
        <v>2</v>
      </c>
      <c r="H4" t="n">
        <v>0</v>
      </c>
      <c r="I4" t="n">
        <v>0</v>
      </c>
      <c r="J4" t="n">
        <v>0</v>
      </c>
      <c r="K4" t="n">
        <v>4</v>
      </c>
      <c r="L4" t="n">
        <v>2</v>
      </c>
      <c r="M4" t="n">
        <v>3</v>
      </c>
      <c r="N4" t="n">
        <v>0</v>
      </c>
      <c r="O4" t="n">
        <v>0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7</v>
      </c>
      <c r="X4" s="8" t="n">
        <v>9</v>
      </c>
      <c r="Y4" s="8" t="n">
        <v>2</v>
      </c>
      <c r="Z4" s="8" t="n">
        <v>0.4444444444444444</v>
      </c>
      <c r="AA4" s="8" t="n">
        <v>0.4</v>
      </c>
      <c r="AB4" s="8" t="n">
        <v>0.7777777777777778</v>
      </c>
      <c r="AC4" s="8" t="n">
        <v>1.177777777777778</v>
      </c>
      <c r="AD4" t="n">
        <v>9</v>
      </c>
      <c r="AE4" t="n">
        <v>7</v>
      </c>
    </row>
    <row r="5" ht="12.75" customHeight="1">
      <c r="A5" s="7" t="inlineStr">
        <is>
          <t>Pink Yoshi</t>
        </is>
      </c>
      <c r="B5" t="inlineStr">
        <is>
          <t>Flowers</t>
        </is>
      </c>
      <c r="C5" s="22" t="n">
        <v>4</v>
      </c>
      <c r="D5" s="11" t="n">
        <v>1</v>
      </c>
      <c r="E5" t="n">
        <v>7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s="12" t="n">
        <v>7</v>
      </c>
      <c r="X5" s="8" t="n">
        <v>9</v>
      </c>
      <c r="Y5" s="8" t="n">
        <v>1</v>
      </c>
      <c r="Z5" s="8" t="n">
        <v>0.25</v>
      </c>
      <c r="AA5" s="8" t="n">
        <v>0.25</v>
      </c>
      <c r="AB5" s="8" t="n">
        <v>0.25</v>
      </c>
      <c r="AC5" s="8" t="n">
        <v>0.5</v>
      </c>
      <c r="AD5" t="n">
        <v>4</v>
      </c>
      <c r="AE5" t="n">
        <v>1</v>
      </c>
    </row>
    <row r="6" ht="12.75" customHeight="1">
      <c r="A6" s="47" t="inlineStr">
        <is>
          <t>Spitballs Totals</t>
        </is>
      </c>
      <c r="B6" s="43" t="inlineStr">
        <is>
          <t>Spitballs</t>
        </is>
      </c>
      <c r="C6" s="48">
        <f>SUM(C2:C3)</f>
        <v/>
      </c>
      <c r="D6" s="49">
        <f>SUM(D2:D3)</f>
        <v/>
      </c>
      <c r="E6" s="43">
        <f>SUM(E2:E3)</f>
        <v/>
      </c>
      <c r="F6" s="43">
        <f>SUM(F2:F3)</f>
        <v/>
      </c>
      <c r="G6" s="43">
        <f>SUM(G2:G3)</f>
        <v/>
      </c>
      <c r="H6" s="43">
        <f>SUM(H2:H3)</f>
        <v/>
      </c>
      <c r="I6" s="43">
        <f>SUM(I2:I3)</f>
        <v/>
      </c>
      <c r="J6" s="43">
        <f>SUM(J2:J3)</f>
        <v/>
      </c>
      <c r="K6" s="43">
        <f>SUM(K2:K3)</f>
        <v/>
      </c>
      <c r="L6" s="43">
        <f>SUM(L2:L3)</f>
        <v/>
      </c>
      <c r="M6" s="43">
        <f>SUM(M2:M3)</f>
        <v/>
      </c>
      <c r="N6" s="43">
        <f>SUM(N2:N3)</f>
        <v/>
      </c>
      <c r="O6" s="43">
        <f>SUM(O2:O3)</f>
        <v/>
      </c>
      <c r="P6" s="43">
        <f>SUM(P2:P3)</f>
        <v/>
      </c>
      <c r="Q6" s="43">
        <f>SUM(Q2:Q3)</f>
        <v/>
      </c>
      <c r="R6" s="43">
        <f>SUM(R2:R3)</f>
        <v/>
      </c>
      <c r="S6" s="43">
        <f>SUM(S2:S3)</f>
        <v/>
      </c>
      <c r="T6" s="43">
        <f>SUM(T2:T3)</f>
        <v/>
      </c>
      <c r="U6" s="43">
        <f>SUM(U2:U3)</f>
        <v/>
      </c>
      <c r="V6" s="43">
        <f>SUM(V2:V3)</f>
        <v/>
      </c>
      <c r="W6" s="50">
        <f>IF(D6=0,"INF",Q6*7/D6)</f>
        <v/>
      </c>
      <c r="X6" s="50">
        <f>IF(D6=0,"INF",Q6*9/D6)</f>
        <v/>
      </c>
      <c r="Y6" s="50">
        <f>IF(D6=0,"INF",(I6+K6)/D6)</f>
        <v/>
      </c>
      <c r="Z6" s="50">
        <f>IF(SUM(AD2:AD3)=0,0,SUM(K2:K3)/SUM(AD2:AD3))</f>
        <v/>
      </c>
      <c r="AA6" s="50">
        <f>IF(SUM(C2:C3)=0,0,(SUM(K2:K3)+SUM(I2:I3)+SUM(J2:J3))/SUM(C2:C3))</f>
        <v/>
      </c>
      <c r="AB6" s="50">
        <f>IF(SUM(AD2:AD3)=0,0,SUM(AE2:AE3)/SUM(AD2:AD3))</f>
        <v/>
      </c>
      <c r="AC6" s="50">
        <f>AA6+AB6</f>
        <v/>
      </c>
      <c r="AD6" s="43" t="n"/>
      <c r="AE6" s="43" t="n"/>
    </row>
    <row r="7" ht="12.75" customHeight="1">
      <c r="A7" s="51" t="inlineStr">
        <is>
          <t>Flowers Totals</t>
        </is>
      </c>
      <c r="B7" s="46" t="inlineStr">
        <is>
          <t>Flowers</t>
        </is>
      </c>
      <c r="C7" s="52">
        <f>SUM(C4:C5)</f>
        <v/>
      </c>
      <c r="D7" s="53">
        <f>SUM(D4:D5)</f>
        <v/>
      </c>
      <c r="E7" s="46">
        <f>SUM(E4:E5)</f>
        <v/>
      </c>
      <c r="F7" s="46">
        <f>SUM(F4:F5)</f>
        <v/>
      </c>
      <c r="G7" s="46">
        <f>SUM(G4:G5)</f>
        <v/>
      </c>
      <c r="H7" s="46">
        <f>SUM(H4:H5)</f>
        <v/>
      </c>
      <c r="I7" s="46">
        <f>SUM(I4:I5)</f>
        <v/>
      </c>
      <c r="J7" s="46">
        <f>SUM(J4:J5)</f>
        <v/>
      </c>
      <c r="K7" s="46">
        <f>SUM(K4:K5)</f>
        <v/>
      </c>
      <c r="L7" s="46">
        <f>SUM(L4:L5)</f>
        <v/>
      </c>
      <c r="M7" s="46">
        <f>SUM(M4:M5)</f>
        <v/>
      </c>
      <c r="N7" s="46">
        <f>SUM(N4:N5)</f>
        <v/>
      </c>
      <c r="O7" s="46">
        <f>SUM(O4:O5)</f>
        <v/>
      </c>
      <c r="P7" s="46">
        <f>SUM(P4:P5)</f>
        <v/>
      </c>
      <c r="Q7" s="46">
        <f>SUM(Q4:Q5)</f>
        <v/>
      </c>
      <c r="R7" s="46">
        <f>SUM(R4:R5)</f>
        <v/>
      </c>
      <c r="S7" s="46">
        <f>SUM(S4:S5)</f>
        <v/>
      </c>
      <c r="T7" s="46">
        <f>SUM(T4:T5)</f>
        <v/>
      </c>
      <c r="U7" s="46">
        <f>SUM(U4:U5)</f>
        <v/>
      </c>
      <c r="V7" s="46">
        <f>SUM(V4:V5)</f>
        <v/>
      </c>
      <c r="W7" s="54">
        <f>IF(D7=0,"INF",Q7*7/D7)</f>
        <v/>
      </c>
      <c r="X7" s="54">
        <f>IF(D7=0,"INF",Q7*9/D7)</f>
        <v/>
      </c>
      <c r="Y7" s="54">
        <f>IF(D7=0,"INF",(I7+K7)/D7)</f>
        <v/>
      </c>
      <c r="Z7" s="54">
        <f>IF(SUM(AD4:AD5)=0,0,SUM(K4:K5)/SUM(AD4:AD5))</f>
        <v/>
      </c>
      <c r="AA7" s="54">
        <f>IF(SUM(C4:C5)=0,0,(SUM(K4:K5)+SUM(I4:I5)+SUM(J4:J5))/SUM(C4:C5))</f>
        <v/>
      </c>
      <c r="AB7" s="54">
        <f>IF(SUM(AD4:AD5)=0,0,SUM(AE4:AE5)/SUM(AD4:AD5))</f>
        <v/>
      </c>
      <c r="AC7" s="54">
        <f>AA7+AB7</f>
        <v/>
      </c>
      <c r="AD7" s="46" t="n"/>
      <c r="AE7" s="46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2026-09-19T00:31:02Z</dcterms:modified>
</cp:coreProperties>
</file>